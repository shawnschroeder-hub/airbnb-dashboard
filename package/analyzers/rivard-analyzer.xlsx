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wn\Desktop\Agent OS\01 Projects\Airbnb Acquisitions\Analyzers\"/>
    </mc:Choice>
  </mc:AlternateContent>
  <xr:revisionPtr revIDLastSave="0" documentId="13_ncr:1_{93BF7945-00E8-4ED7-9193-31F4148EAAC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irections and Notes" sheetId="1" r:id="rId1"/>
    <sheet name="Property Details" sheetId="2" r:id="rId2"/>
    <sheet name="Income and Expenses" sheetId="3" r:id="rId3"/>
    <sheet name="Deal Calculations" sheetId="4" r:id="rId4"/>
    <sheet name="Refinance Calculations" sheetId="5" r:id="rId5"/>
    <sheet name="Repair Estimator" sheetId="6" r:id="rId6"/>
  </sheets>
  <definedNames>
    <definedName name="Driveway" localSheetId="5">'Repair Estimator'!$J$10:$J$14</definedName>
    <definedName name="Landscape" localSheetId="5">'Repair Estimator'!$J$10:$J$15</definedName>
    <definedName name="Landscaping" localSheetId="5">'Repair Estimator'!$J$10:$J$15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6" l="1"/>
  <c r="B8" i="5"/>
  <c r="B10" i="5" s="1"/>
  <c r="B13" i="4"/>
  <c r="B32" i="3"/>
  <c r="B31" i="3"/>
  <c r="B30" i="3"/>
  <c r="Z21" i="3"/>
  <c r="AA21" i="3" s="1"/>
  <c r="D15" i="3"/>
  <c r="C14" i="3"/>
  <c r="Z22" i="3" s="1"/>
  <c r="AA22" i="3" s="1"/>
  <c r="D13" i="3"/>
  <c r="C12" i="3"/>
  <c r="C16" i="3" s="1"/>
  <c r="C17" i="3" s="1"/>
  <c r="B12" i="3"/>
  <c r="B16" i="3" s="1"/>
  <c r="B17" i="3" s="1"/>
  <c r="D11" i="3"/>
  <c r="D10" i="3"/>
  <c r="D9" i="3"/>
  <c r="D8" i="3"/>
  <c r="B16" i="2"/>
  <c r="B19" i="2" s="1"/>
  <c r="B29" i="3" s="1"/>
  <c r="AA23" i="3" l="1"/>
  <c r="D12" i="3"/>
  <c r="Z20" i="3"/>
  <c r="B33" i="3" s="1"/>
  <c r="B23" i="3"/>
  <c r="B16" i="5"/>
  <c r="B17" i="5"/>
  <c r="B18" i="2"/>
  <c r="D16" i="3"/>
  <c r="D17" i="3" s="1"/>
  <c r="B19" i="5" l="1"/>
  <c r="B25" i="3"/>
  <c r="B39" i="3"/>
  <c r="B8" i="4" s="1"/>
  <c r="B26" i="3" l="1"/>
  <c r="B18" i="5" s="1"/>
  <c r="B20" i="5" s="1"/>
  <c r="B21" i="5" s="1"/>
  <c r="B22" i="5" s="1"/>
  <c r="B7" i="4"/>
  <c r="B9" i="4" s="1"/>
  <c r="B11" i="4" l="1"/>
  <c r="B12" i="4"/>
  <c r="B10" i="4"/>
</calcChain>
</file>

<file path=xl/sharedStrings.xml><?xml version="1.0" encoding="utf-8"?>
<sst xmlns="http://schemas.openxmlformats.org/spreadsheetml/2006/main" count="233" uniqueCount="223">
  <si>
    <t>DIRECTIONS</t>
  </si>
  <si>
    <t xml:space="preserve">  Property Details</t>
  </si>
  <si>
    <t>Step One</t>
  </si>
  <si>
    <t>Fill out all the items in the "Property Details" and the "Income and Expenses" tab.</t>
  </si>
  <si>
    <t>• You will fill in all items that are in gray cells.</t>
  </si>
  <si>
    <t xml:space="preserve">• You won't ever touch the yellow cells because they will autopopulate. </t>
  </si>
  <si>
    <t>Note: On the "Property Details" tab, the sheet works whether you use either type of financing, both, or none (i.e., cash deal)</t>
  </si>
  <si>
    <t>Note: Use the "Repair Estimator" tab to help calculate rehab expenses</t>
  </si>
  <si>
    <t>Step Two</t>
  </si>
  <si>
    <t>Go to the "Deal Calculations" tab to review the analysis of your property.</t>
  </si>
  <si>
    <t xml:space="preserve">• All the input you have provided from the "Property Details" sheet and the "Income and Expenses" sheet will autocalculate in the "Deal Calculations" sheet. </t>
  </si>
  <si>
    <t>Step Three</t>
  </si>
  <si>
    <t>Long-term funding (this is common with turn-key purchases)</t>
  </si>
  <si>
    <t>• If you intend to use your initial funding inputted into the "Property Details" tab long term, then you are done; the "Deal Calculations" tab includes the results you are looking for.</t>
  </si>
  <si>
    <t>Refinancing into a new funding source (i.e., the BRRRR method)</t>
  </si>
  <si>
    <t>• If you intend to refinance into a new funding source, then fill in the "Refinance Calculations" to understand what the long-term deal calculations will be after the refinance.</t>
  </si>
  <si>
    <t>NOTES</t>
  </si>
  <si>
    <t xml:space="preserve">   Income/Expense Calculations</t>
  </si>
  <si>
    <t>• After inputting your numbers, you can go back and adjust inputs to see how it impacts your deal calculations. This is a great way to understand how different inputs impact performance.</t>
  </si>
  <si>
    <t>Property Details</t>
  </si>
  <si>
    <t xml:space="preserve">  Deal Calculations</t>
  </si>
  <si>
    <t>Purchase Price</t>
  </si>
  <si>
    <t>Total Income</t>
  </si>
  <si>
    <t>Closing Costs</t>
  </si>
  <si>
    <t>After Repair Value</t>
  </si>
  <si>
    <t>Annual Property Taxes</t>
  </si>
  <si>
    <t>Total Expenses</t>
  </si>
  <si>
    <t>Annual Insurance</t>
  </si>
  <si>
    <t>INCOME</t>
  </si>
  <si>
    <t>Repair Costs</t>
  </si>
  <si>
    <t>Total Annual Net Cash Flow</t>
  </si>
  <si>
    <t>Furnishing Costs</t>
  </si>
  <si>
    <t>Total Average Monthly Net Cash Flow</t>
  </si>
  <si>
    <t>Conventional / Asset-Based Loan</t>
  </si>
  <si>
    <t>ROI (from Cash Flow)</t>
  </si>
  <si>
    <t>Loan to Value Percentage</t>
  </si>
  <si>
    <t>Loan Amount</t>
  </si>
  <si>
    <t>High Season</t>
  </si>
  <si>
    <t>Low Season</t>
  </si>
  <si>
    <t>Total</t>
  </si>
  <si>
    <t>Cash on Cash Return</t>
  </si>
  <si>
    <t xml:space="preserve">  Refinance Calculations</t>
  </si>
  <si>
    <t>Rehab Funding</t>
  </si>
  <si>
    <t>New Loan Terms</t>
  </si>
  <si>
    <t>Down Payment Amount</t>
  </si>
  <si>
    <t>Equity</t>
  </si>
  <si>
    <t>Average Daily Rate Unit 1</t>
  </si>
  <si>
    <t>Loan to Value %</t>
  </si>
  <si>
    <t>Average Daily Rate Unit 2</t>
  </si>
  <si>
    <t>Loan Term (Years)</t>
  </si>
  <si>
    <t>Average Daily Rate Unit 3</t>
  </si>
  <si>
    <t>Loan APR</t>
  </si>
  <si>
    <t>Term (Years)</t>
  </si>
  <si>
    <t>Average Daily Rate Unit 4</t>
  </si>
  <si>
    <t>PMI</t>
  </si>
  <si>
    <t>APR</t>
  </si>
  <si>
    <t>TOTAL</t>
  </si>
  <si>
    <t>Private Loan (Interest Only)</t>
  </si>
  <si>
    <t>Private Loan Amount</t>
  </si>
  <si>
    <t>Private Loan ARP</t>
  </si>
  <si>
    <t>Occupancy %</t>
  </si>
  <si>
    <t>After Refinance Calculations</t>
  </si>
  <si>
    <t>Your New Payment</t>
  </si>
  <si>
    <t>Days Listed Each Season</t>
  </si>
  <si>
    <t>Your Money Left in Deal</t>
  </si>
  <si>
    <t>Season % of Year</t>
  </si>
  <si>
    <t>Annual Income Total</t>
  </si>
  <si>
    <t>Total Monthly Income</t>
  </si>
  <si>
    <t>Total Monthly Expenses</t>
  </si>
  <si>
    <t>Monthly Cash Flow</t>
  </si>
  <si>
    <t>Monthly Income Total</t>
  </si>
  <si>
    <t>Annual Cash Flow</t>
  </si>
  <si>
    <t>Cleaning Fee Charged</t>
  </si>
  <si>
    <t>Amount Paid to Cleaner</t>
  </si>
  <si>
    <t>Cleanings/Month High Season</t>
  </si>
  <si>
    <t>Cleanings/Month Low Seasons</t>
  </si>
  <si>
    <t>Cleaning Income Total</t>
  </si>
  <si>
    <t>Total Annual Gross Income</t>
  </si>
  <si>
    <t>Total Monthly Gross Income</t>
  </si>
  <si>
    <t>Monthly Average Expenses</t>
  </si>
  <si>
    <t>Conventional/Asset Based Mortgage</t>
  </si>
  <si>
    <t>Insurance</t>
  </si>
  <si>
    <t>Property Taxes</t>
  </si>
  <si>
    <t>Cleaning</t>
  </si>
  <si>
    <t>Utilities/WIFI</t>
  </si>
  <si>
    <t xml:space="preserve">Lawn/Snow Removal </t>
  </si>
  <si>
    <t xml:space="preserve">Consumables </t>
  </si>
  <si>
    <t>Maintenance (AVG 2-5% Income)</t>
  </si>
  <si>
    <t>Total Monthly Average Expenses</t>
  </si>
  <si>
    <t>QUICK REPAIR ESTIMATOR</t>
  </si>
  <si>
    <t>LEAD SOURCE</t>
  </si>
  <si>
    <t>DATE</t>
  </si>
  <si>
    <t>ASKING PRICE</t>
  </si>
  <si>
    <t>PROPERTY ADDRESS</t>
  </si>
  <si>
    <t>CITY, STATE AND ZIP</t>
  </si>
  <si>
    <t>VACATION RENTAL OR FLIP</t>
  </si>
  <si>
    <t>YEAR BUILT</t>
  </si>
  <si>
    <t>SQ FT</t>
  </si>
  <si>
    <t>BEDROOMS</t>
  </si>
  <si>
    <t>BATHS</t>
  </si>
  <si>
    <t>GARAGE TYPE</t>
  </si>
  <si>
    <t>Inspection Checklist</t>
  </si>
  <si>
    <t>Yes</t>
  </si>
  <si>
    <t>Maybe</t>
  </si>
  <si>
    <t>No</t>
  </si>
  <si>
    <t>Repair Cost Calculations</t>
  </si>
  <si>
    <t>Number</t>
  </si>
  <si>
    <t>Repair Cost</t>
  </si>
  <si>
    <t>Exterior</t>
  </si>
  <si>
    <t>General</t>
  </si>
  <si>
    <t>Landscaping?</t>
  </si>
  <si>
    <t>Clean Yard (Easy): $1000        Landscape (Hard): $2500</t>
  </si>
  <si>
    <t>Driveway Repair?</t>
  </si>
  <si>
    <t>Seal Coat: $1.50 sq/ft       Asphalt: $3.00 sq/ft    Concrete: $5.00 sq/ft</t>
  </si>
  <si>
    <t>Sidewalk Repair?</t>
  </si>
  <si>
    <t>Concrete: $5.00 sq/ft           Pavers: $8.30 sq/ft</t>
  </si>
  <si>
    <t>Decks/ Porches/ Patios?</t>
  </si>
  <si>
    <t>Deck Paint (Small): $500  Deck Paint (Large): $1,000                             Rebuild: $35.00 sq/ft</t>
  </si>
  <si>
    <t>Roof Need Repairs?</t>
  </si>
  <si>
    <t>1500 sq/ft House - Additional Layer of Shingles: $3500                         Rip and Reply: $6000</t>
  </si>
  <si>
    <t>Gutters, Fascia, Soffit need Repair?</t>
  </si>
  <si>
    <t xml:space="preserve">Replace: $2500            </t>
  </si>
  <si>
    <t>Exterior Siding, Paint, or Tuckpoint?</t>
  </si>
  <si>
    <t>Exterior Paint: $3.00 sq/ft    Exterior Siding: $5.00 sq/ft   Exterior Tuck Point: $10.00 sq/ft</t>
  </si>
  <si>
    <t>Windows?</t>
  </si>
  <si>
    <t># of Windows x $350 for Standard Installed</t>
  </si>
  <si>
    <t>Exterior Doors?</t>
  </si>
  <si>
    <t>$650 Per door Set Standard</t>
  </si>
  <si>
    <t>Garage</t>
  </si>
  <si>
    <t>Need a roof?</t>
  </si>
  <si>
    <t>Rip and Reply ($2,000)</t>
  </si>
  <si>
    <t>Siding?</t>
  </si>
  <si>
    <t>Siding ($5.00sq/ft)</t>
  </si>
  <si>
    <t># of windows x $350 for Standard</t>
  </si>
  <si>
    <t>Service Door?</t>
  </si>
  <si>
    <t>Doors ($400)</t>
  </si>
  <si>
    <t>Overhead Door/ Motor?</t>
  </si>
  <si>
    <t>1 Garage Door ($1,000)</t>
  </si>
  <si>
    <t>Garage Floors need repair?</t>
  </si>
  <si>
    <t>Concrete Floor: $5.00 sq/ft    Expoxy Floor: $3.00 sq/ft</t>
  </si>
  <si>
    <t>Interior garage walls need paint?</t>
  </si>
  <si>
    <t>Paint ($3.50 sq/ft)</t>
  </si>
  <si>
    <t>Garage Electrical/ Fixtures/ GFI's</t>
  </si>
  <si>
    <r>
      <rPr>
        <sz val="10"/>
        <color rgb="FF000000"/>
        <rFont val="Times New Roman"/>
      </rPr>
      <t xml:space="preserve"> </t>
    </r>
    <r>
      <rPr>
        <sz val="6"/>
        <color rgb="FF000000"/>
        <rFont val="Times New Roman"/>
      </rPr>
      <t>All $1,500</t>
    </r>
  </si>
  <si>
    <t>Interior</t>
  </si>
  <si>
    <t>Interior Paint: Complete</t>
  </si>
  <si>
    <t>Interior Paint (walls/trim/ceiling): $3.50 sq/ft</t>
  </si>
  <si>
    <t>Sheetrock damaged or needing repair?</t>
  </si>
  <si>
    <t>Single Family Patch: $1000   Sheetrock: $4.00 sq/ft          Wall Insulation: $2.50 sq/ft</t>
  </si>
  <si>
    <t>Trim need replacing?</t>
  </si>
  <si>
    <t>Trim: $3.00/ Linear Ft.</t>
  </si>
  <si>
    <t>Doors need replacing?</t>
  </si>
  <si>
    <t>Interior Doors: $175</t>
  </si>
  <si>
    <t>House need carpet?</t>
  </si>
  <si>
    <t>Carpet: $2.00 sq/ft</t>
  </si>
  <si>
    <t>House need tile/ vinyl?</t>
  </si>
  <si>
    <t>Ceramic Tiles: $5.00 sq/ft   Luxury Vinyl Planking (LVP): $3.50</t>
  </si>
  <si>
    <t>Floors need to be sanded?</t>
  </si>
  <si>
    <t>Sand and Refinish: $3.00 sq/ft</t>
  </si>
  <si>
    <t>Hardwood Install?</t>
  </si>
  <si>
    <t>Hardwood Install: $8.00 sq/ft                                                          Engineered Hardwood: $5.50 sq/ft</t>
  </si>
  <si>
    <t>Kitchen</t>
  </si>
  <si>
    <t>New Cabinets?</t>
  </si>
  <si>
    <t>1500 sq/ft House - Replace: $7500</t>
  </si>
  <si>
    <t>New Countertops &amp; Backsplash?</t>
  </si>
  <si>
    <t xml:space="preserve">1500 st/ft House - Quartz Countertop: $3000                                         Subway Tile Backsplash: $2.00 sq/ft </t>
  </si>
  <si>
    <t>Full Kitchen Remodel?</t>
  </si>
  <si>
    <t>Full Remodel other than cabinets, counters, and appliances (separate line items): $2,000-4,000</t>
  </si>
  <si>
    <t>Kitchen Appliances?</t>
  </si>
  <si>
    <t>Basic Stainless Steel Package: $2500                                                 Upgraded Stainless Stell Package: $4,000</t>
  </si>
  <si>
    <t>Basement</t>
  </si>
  <si>
    <t>Basement repairs needed?</t>
  </si>
  <si>
    <t>Install sump pump &amp; drain tile: $8,500</t>
  </si>
  <si>
    <t>Replace Stairwell: $4,000</t>
  </si>
  <si>
    <t>Finish Basement?</t>
  </si>
  <si>
    <t xml:space="preserve">Finish Basement Partial: $4500                                                             Finish Basement Complete: $25.00 sq/ft  </t>
  </si>
  <si>
    <t>Foundation Cracks?</t>
  </si>
  <si>
    <t xml:space="preserve">$750/crack </t>
  </si>
  <si>
    <t>Mechanicals</t>
  </si>
  <si>
    <t>Furnace, Hot Water Heater, or A/C need replacing?</t>
  </si>
  <si>
    <t xml:space="preserve">Replace Furnace and A/C: $4,500 </t>
  </si>
  <si>
    <t>Replace Hot Water Heater: $1,500</t>
  </si>
  <si>
    <t>Instal ductwork: $3,000/ story</t>
  </si>
  <si>
    <t>Plumbing need repair?</t>
  </si>
  <si>
    <t>Plumbing: $4500 per floor              Plumbing Fixtures: $2000 per floor</t>
  </si>
  <si>
    <t>Plumbing notes: PVC/Copper/Cast Iron/ Galvanized</t>
  </si>
  <si>
    <t>Notes:</t>
  </si>
  <si>
    <t>Electrical need repair?</t>
  </si>
  <si>
    <t>New Panel: $1500                Fixtures: 2500 per floor                               Electrical Rewire: $5000 per floor</t>
  </si>
  <si>
    <t>Electrical notes: Outlets have grounds? Conduit/Romex/BX/Cloth?</t>
  </si>
  <si>
    <t>Bathrooms</t>
  </si>
  <si>
    <t>Bathroom Repair?</t>
  </si>
  <si>
    <t>Complete Full Bath: $5,500</t>
  </si>
  <si>
    <t>Complete Half Bath: $3,000</t>
  </si>
  <si>
    <t>Re-glaze tub and tile: $1500</t>
  </si>
  <si>
    <t>Extras</t>
  </si>
  <si>
    <t>Demo:</t>
  </si>
  <si>
    <t>Demo: $1,000-$5,000</t>
  </si>
  <si>
    <t>Dumpsters:</t>
  </si>
  <si>
    <t>Dumpsters: $550/ Dumpster</t>
  </si>
  <si>
    <t>Permits:</t>
  </si>
  <si>
    <t>Permits: $500-$1,000</t>
  </si>
  <si>
    <t>Architect?</t>
  </si>
  <si>
    <t>$1,500-$4,000 Depending on Size</t>
  </si>
  <si>
    <t>Extra Notes:</t>
  </si>
  <si>
    <t>Total Rehab Cost:</t>
  </si>
  <si>
    <t>Bed/Bath: 2/1 (sleeps 6; king + queen + air bed)</t>
  </si>
  <si>
    <t>Sq Ft: TBD (county record pending)</t>
  </si>
  <si>
    <t>### FILLED 2026-08-01 - OWNER-FINANCING PACKAGE, PROPERTY 2 ###</t>
  </si>
  <si>
    <t>IDENTITY: 423 S Rivard St = live Airbnb #36696033 "Bourbonnais/ Sweet home a short walk to O.N.U." (Shawn supplied link+address 8/1). Directly across the ONU entrance. Host: Ami (same seller as pkg #1), Superhost, 4.95 x 374 reviews, Guest Favorite, TOP 10% badge. NOTE: this is the very listing the 7/26 comp table used to price this house - we now price it off ITSELF.</t>
  </si>
  <si>
    <t>RATES - OWN-LISTING LIVE QUOTES (8/1/2026, all-fees, 2-night stays): Aug 18-20 TueThu $371 (short-lead gap pricing) | Jan 4-6 MonWed $399 | Oct 16-18 FriSun $424. Strip ~14.2% svc fee + $100 cleaning -&gt; base ~$112 (gap) / ~$125 weekday rack / ~$136 weekend. FILLED: high 135 / low 120.</t>
  </si>
  <si>
    <t>CORRECTION vs JULY: workbook 21 used $150/$140 (comp-band derived). Live listing prices ~13% LOWER. July result (+$748/mo, 22.4% CoC at $200K) was optimistic; this workbook is the corrected read.</t>
  </si>
  <si>
    <t>OCCUPANCY: filled 72/62 (blend ~67% = AirDNA Bourbonnais market, Jul 5 dataset). Forward calendar 8/1: Aug ~5/30 booked (but Aug 10-12 next week IS taken), Sep ~12/30 - LIGHTER than pkg #1. Clientele is repeat guests + short-lead locals (multiple named repeat reviewers) who book close-in. "Usually booked" badge. Kept market blend; actual earnings docs will settle it.</t>
  </si>
  <si>
    <t>PRICE: $200,000 PLACEHOLDER - sellers have NOT named this property's price yet (pkg #1 came in at $225K). Update B6 + LTV B15 when named ($40K down: LTV = 1 - 40000/price).</t>
  </si>
  <si>
    <t>TAXES: $3,170 ACTUAL (July-verified parcel bill; lowest of the drive-by trio - worth ~$135/mo vs pkg #1).</t>
  </si>
  <si>
    <t>FINANCING: primary = 30yr 6.5%, $40K down, $0 closing (assumed seller-paid; real ~$6K = -2pts CoC). SELLER-NOTE OFFER: 5.5% amortizing no balloon -&gt; on $160K loan P&amp;I $908 vs $1,011 = +$103/mo vs this workbook.</t>
  </si>
  <si>
    <t>TRANSFERABILITY RISK (bigger here than pkg #1): repeat guests praise AMI by name (preheats the house, instant responses). Reviews + Superhost status do NOT transfer to a new owner. Budget for guest attrition or retain her co-host/cleaner crew; get the forward booking ledger + 24mo earnings before pricing this goodwill.</t>
  </si>
  <si>
    <t>STILL NEEDED: seller price; 24mo earnings + Schedule E + booking ledger; actual cleaning fee; sq ft/county record; STR permit transferability (Village of Bourbonnais); title search.</t>
  </si>
  <si>
    <t>UPDATED 2026-10-18 FROM THE SELLERS' ACTUAL EARNINGS (Airbnb earnings report + Vrbo payout summary, Oct 6 2025 - Oct 6 2026). Airbnb 'Revard' paid out 28,064.71 (178 nights, avg stay 3.1 = 57 stays) + Vrbo paid out 13,465.78 (85 nights, 27 bookings).</t>
  </si>
  <si>
    <t>FINANCING: bank loan, 20% down, 8.0%, 30 years (Loan Options Board realistic band 7.5-8.5%). Closing costs not included.</t>
  </si>
  <si>
    <t>INCOME: nightly rate = (actual payout - cleaning fees) / booked nights; occupancy = booked nights / 365; cleanings = actual stays. Payouts are after Airbnb/Vrbo fees, so the income total equals what was actually paid out.</t>
  </si>
  <si>
    <t>CLEANING IT YOURSELF: set 'Income and Expenses' B20 (Amount Paid to Cleaner) to 0 - the guests' cleaning fee then stays with you.</t>
  </si>
  <si>
    <t>Address: 423 S Rivard St, Bourbonnais IL â€” ACTUALS Oct 2025-Oct 2026, bank loan 8% (off-market; Airbnb #36696033, 4.95x374 Guest Favorite, Top 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</si>
</sst>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7" x14ac:knownFonts="1">
    <font>
      <sz val="12"/>
      <color theme="1"/>
      <name val="Calibri"/>
      <scheme val="minor"/>
    </font>
    <font>
      <b/>
      <sz val="16"/>
      <color theme="0"/>
      <name val="Calibri"/>
    </font>
    <font>
      <sz val="12"/>
      <name val="Calibri"/>
    </font>
    <font>
      <b/>
      <sz val="12"/>
      <color rgb="FF003578"/>
      <name val="Calibri"/>
    </font>
    <font>
      <b/>
      <sz val="12"/>
      <color theme="1"/>
      <name val="Calibri"/>
    </font>
    <font>
      <sz val="12"/>
      <color rgb="FF000000"/>
      <name val="Calibri"/>
    </font>
    <font>
      <sz val="12"/>
      <color theme="1"/>
      <name val="Calibri"/>
    </font>
    <font>
      <b/>
      <sz val="12"/>
      <color theme="0"/>
      <name val="Calibri"/>
    </font>
    <font>
      <sz val="12"/>
      <color theme="1"/>
      <name val="Calibri"/>
      <scheme val="minor"/>
    </font>
    <font>
      <b/>
      <sz val="12"/>
      <color rgb="FF000000"/>
      <name val="Calibri"/>
    </font>
    <font>
      <b/>
      <sz val="14"/>
      <color rgb="FF003578"/>
      <name val="Calibri"/>
    </font>
    <font>
      <sz val="10"/>
      <color theme="1"/>
      <name val="Calibri"/>
    </font>
    <font>
      <sz val="10"/>
      <color theme="1"/>
      <name val="Arial"/>
    </font>
    <font>
      <b/>
      <sz val="24"/>
      <color theme="1"/>
      <name val="Century Gothic"/>
    </font>
    <font>
      <sz val="10"/>
      <color theme="1"/>
      <name val="Times New Roman"/>
    </font>
    <font>
      <b/>
      <sz val="10"/>
      <color rgb="FFFFFFFF"/>
      <name val="Century Gothic"/>
    </font>
    <font>
      <sz val="10"/>
      <color rgb="FF000000"/>
      <name val="Times New Roman"/>
    </font>
    <font>
      <b/>
      <sz val="10"/>
      <color rgb="FFFFFFFF"/>
      <name val="Arial"/>
    </font>
    <font>
      <b/>
      <sz val="10"/>
      <color theme="1"/>
      <name val="Times New Roman"/>
    </font>
    <font>
      <b/>
      <sz val="8"/>
      <color theme="1"/>
      <name val="Times New Roman"/>
    </font>
    <font>
      <b/>
      <sz val="7"/>
      <color theme="1"/>
      <name val="Times New Roman"/>
    </font>
    <font>
      <b/>
      <u/>
      <sz val="18"/>
      <color theme="1"/>
      <name val="Times New Roman"/>
    </font>
    <font>
      <b/>
      <sz val="10"/>
      <color rgb="FF000000"/>
      <name val="Times New Roman"/>
    </font>
    <font>
      <sz val="6"/>
      <color theme="1"/>
      <name val="Times New Roman"/>
    </font>
    <font>
      <sz val="6"/>
      <color rgb="FF000000"/>
      <name val="Times New Roman"/>
    </font>
    <font>
      <b/>
      <u/>
      <sz val="18"/>
      <color rgb="FF000000"/>
      <name val="Times New Roman"/>
    </font>
    <font>
      <b/>
      <sz val="16"/>
      <color theme="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03578"/>
        <bgColor rgb="FF00357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B7B7B7"/>
        <bgColor rgb="FFB7B7B7"/>
      </patternFill>
    </fill>
    <fill>
      <patternFill patternType="solid">
        <fgColor rgb="FF222B35"/>
        <bgColor rgb="FF222B35"/>
      </patternFill>
    </fill>
    <fill>
      <patternFill patternType="solid">
        <fgColor rgb="FF000000"/>
        <bgColor rgb="FF000000"/>
      </patternFill>
    </fill>
    <fill>
      <patternFill patternType="solid">
        <fgColor rgb="FF44546A"/>
        <bgColor rgb="FF44546A"/>
      </patternFill>
    </fill>
    <fill>
      <patternFill patternType="solid">
        <fgColor rgb="FF073763"/>
        <bgColor rgb="FF073763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3" fillId="3" borderId="5" xfId="0" applyFont="1" applyFill="1" applyBorder="1"/>
    <xf numFmtId="0" fontId="4" fillId="0" borderId="0" xfId="0" applyFont="1"/>
    <xf numFmtId="0" fontId="5" fillId="4" borderId="6" xfId="0" applyFont="1" applyFill="1" applyBorder="1" applyAlignment="1">
      <alignment horizontal="left" vertical="center"/>
    </xf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wrapText="1"/>
    </xf>
    <xf numFmtId="0" fontId="5" fillId="4" borderId="5" xfId="0" applyFont="1" applyFill="1" applyBorder="1" applyAlignment="1">
      <alignment wrapText="1"/>
    </xf>
    <xf numFmtId="0" fontId="9" fillId="4" borderId="5" xfId="0" applyFont="1" applyFill="1" applyBorder="1"/>
    <xf numFmtId="0" fontId="5" fillId="4" borderId="5" xfId="0" applyFont="1" applyFill="1" applyBorder="1" applyAlignment="1">
      <alignment horizontal="left" wrapText="1"/>
    </xf>
    <xf numFmtId="0" fontId="10" fillId="0" borderId="0" xfId="0" applyFont="1"/>
    <xf numFmtId="0" fontId="6" fillId="0" borderId="6" xfId="0" applyFont="1" applyBorder="1"/>
    <xf numFmtId="0" fontId="1" fillId="2" borderId="0" xfId="0" applyFont="1" applyFill="1" applyAlignment="1">
      <alignment horizontal="left" vertical="center"/>
    </xf>
    <xf numFmtId="164" fontId="6" fillId="5" borderId="6" xfId="0" applyNumberFormat="1" applyFont="1" applyFill="1" applyBorder="1"/>
    <xf numFmtId="165" fontId="6" fillId="6" borderId="6" xfId="0" applyNumberFormat="1" applyFont="1" applyFill="1" applyBorder="1"/>
    <xf numFmtId="0" fontId="6" fillId="0" borderId="0" xfId="0" applyFont="1" applyAlignment="1">
      <alignment horizontal="center"/>
    </xf>
    <xf numFmtId="164" fontId="6" fillId="0" borderId="0" xfId="0" applyNumberFormat="1" applyFont="1"/>
    <xf numFmtId="164" fontId="6" fillId="6" borderId="6" xfId="0" applyNumberFormat="1" applyFont="1" applyFill="1" applyBorder="1"/>
    <xf numFmtId="9" fontId="6" fillId="5" borderId="6" xfId="0" applyNumberFormat="1" applyFont="1" applyFill="1" applyBorder="1"/>
    <xf numFmtId="0" fontId="4" fillId="7" borderId="6" xfId="0" applyFont="1" applyFill="1" applyBorder="1" applyAlignment="1">
      <alignment horizontal="center"/>
    </xf>
    <xf numFmtId="10" fontId="6" fillId="6" borderId="6" xfId="0" applyNumberFormat="1" applyFont="1" applyFill="1" applyBorder="1"/>
    <xf numFmtId="165" fontId="6" fillId="0" borderId="0" xfId="0" applyNumberFormat="1" applyFont="1"/>
    <xf numFmtId="9" fontId="6" fillId="0" borderId="0" xfId="0" applyNumberFormat="1" applyFont="1"/>
    <xf numFmtId="1" fontId="6" fillId="5" borderId="6" xfId="0" applyNumberFormat="1" applyFont="1" applyFill="1" applyBorder="1"/>
    <xf numFmtId="10" fontId="6" fillId="5" borderId="6" xfId="0" applyNumberFormat="1" applyFont="1" applyFill="1" applyBorder="1"/>
    <xf numFmtId="0" fontId="6" fillId="5" borderId="6" xfId="0" applyFont="1" applyFill="1" applyBorder="1"/>
    <xf numFmtId="0" fontId="3" fillId="3" borderId="6" xfId="0" applyFont="1" applyFill="1" applyBorder="1" applyAlignment="1">
      <alignment horizontal="right"/>
    </xf>
    <xf numFmtId="10" fontId="6" fillId="0" borderId="0" xfId="0" applyNumberFormat="1" applyFont="1"/>
    <xf numFmtId="9" fontId="6" fillId="6" borderId="6" xfId="0" applyNumberFormat="1" applyFont="1" applyFill="1" applyBorder="1"/>
    <xf numFmtId="0" fontId="6" fillId="6" borderId="6" xfId="0" applyFont="1" applyFill="1" applyBorder="1"/>
    <xf numFmtId="0" fontId="6" fillId="0" borderId="6" xfId="0" applyFont="1" applyBorder="1" applyAlignment="1">
      <alignment wrapText="1"/>
    </xf>
    <xf numFmtId="0" fontId="11" fillId="0" borderId="0" xfId="0" applyFont="1"/>
    <xf numFmtId="0" fontId="3" fillId="3" borderId="6" xfId="0" applyFont="1" applyFill="1" applyBorder="1"/>
    <xf numFmtId="0" fontId="12" fillId="8" borderId="5" xfId="0" applyFont="1" applyFill="1" applyBorder="1" applyAlignment="1">
      <alignment horizontal="center"/>
    </xf>
    <xf numFmtId="0" fontId="12" fillId="0" borderId="0" xfId="0" applyFont="1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5" fillId="9" borderId="14" xfId="0" applyFont="1" applyFill="1" applyBorder="1"/>
    <xf numFmtId="0" fontId="12" fillId="0" borderId="15" xfId="0" applyFont="1" applyBorder="1"/>
    <xf numFmtId="0" fontId="15" fillId="9" borderId="16" xfId="0" applyFont="1" applyFill="1" applyBorder="1"/>
    <xf numFmtId="0" fontId="15" fillId="10" borderId="16" xfId="0" applyFont="1" applyFill="1" applyBorder="1"/>
    <xf numFmtId="0" fontId="15" fillId="11" borderId="18" xfId="0" applyFont="1" applyFill="1" applyBorder="1"/>
    <xf numFmtId="0" fontId="15" fillId="11" borderId="21" xfId="0" applyFont="1" applyFill="1" applyBorder="1"/>
    <xf numFmtId="0" fontId="15" fillId="12" borderId="18" xfId="0" applyFont="1" applyFill="1" applyBorder="1"/>
    <xf numFmtId="0" fontId="12" fillId="0" borderId="20" xfId="0" applyFont="1" applyBorder="1"/>
    <xf numFmtId="0" fontId="15" fillId="12" borderId="21" xfId="0" applyFont="1" applyFill="1" applyBorder="1"/>
    <xf numFmtId="0" fontId="17" fillId="12" borderId="21" xfId="0" applyFont="1" applyFill="1" applyBorder="1"/>
    <xf numFmtId="0" fontId="18" fillId="0" borderId="2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/>
    </xf>
    <xf numFmtId="0" fontId="18" fillId="0" borderId="22" xfId="0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 vertical="top" wrapText="1"/>
    </xf>
    <xf numFmtId="165" fontId="14" fillId="0" borderId="0" xfId="0" applyNumberFormat="1" applyFont="1"/>
    <xf numFmtId="0" fontId="16" fillId="0" borderId="22" xfId="0" applyFont="1" applyBorder="1"/>
    <xf numFmtId="0" fontId="14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top" wrapText="1"/>
    </xf>
    <xf numFmtId="165" fontId="14" fillId="0" borderId="22" xfId="0" applyNumberFormat="1" applyFont="1" applyBorder="1"/>
    <xf numFmtId="0" fontId="24" fillId="0" borderId="22" xfId="0" applyFont="1" applyBorder="1" applyAlignment="1">
      <alignment horizontal="left" vertical="top"/>
    </xf>
    <xf numFmtId="0" fontId="14" fillId="0" borderId="22" xfId="0" applyFont="1" applyBorder="1"/>
    <xf numFmtId="0" fontId="18" fillId="0" borderId="0" xfId="0" applyFont="1" applyAlignment="1">
      <alignment horizontal="center"/>
    </xf>
    <xf numFmtId="0" fontId="23" fillId="0" borderId="22" xfId="0" applyFont="1" applyBorder="1" applyAlignment="1">
      <alignment horizontal="left" vertical="top"/>
    </xf>
    <xf numFmtId="0" fontId="24" fillId="0" borderId="22" xfId="0" applyFont="1" applyBorder="1" applyAlignment="1">
      <alignment wrapText="1"/>
    </xf>
    <xf numFmtId="0" fontId="14" fillId="0" borderId="24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165" fontId="16" fillId="0" borderId="22" xfId="0" applyNumberFormat="1" applyFont="1" applyBorder="1"/>
    <xf numFmtId="0" fontId="14" fillId="0" borderId="23" xfId="0" applyFont="1" applyBorder="1"/>
    <xf numFmtId="0" fontId="14" fillId="0" borderId="2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3" fillId="3" borderId="7" xfId="0" applyFont="1" applyFill="1" applyBorder="1" applyAlignment="1">
      <alignment horizontal="left"/>
    </xf>
    <xf numFmtId="0" fontId="2" fillId="0" borderId="8" xfId="0" applyFont="1" applyBorder="1"/>
    <xf numFmtId="0" fontId="1" fillId="2" borderId="2" xfId="0" applyFont="1" applyFill="1" applyBorder="1" applyAlignment="1">
      <alignment horizontal="left" vertical="center"/>
    </xf>
    <xf numFmtId="0" fontId="2" fillId="0" borderId="4" xfId="0" applyFont="1" applyBorder="1"/>
    <xf numFmtId="0" fontId="2" fillId="0" borderId="9" xfId="0" applyFont="1" applyBorder="1"/>
    <xf numFmtId="0" fontId="0" fillId="0" borderId="0" xfId="0"/>
    <xf numFmtId="0" fontId="1" fillId="2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2" fillId="0" borderId="11" xfId="0" applyFont="1" applyBorder="1"/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/>
    </xf>
    <xf numFmtId="0" fontId="14" fillId="0" borderId="23" xfId="0" applyFont="1" applyBorder="1" applyAlignment="1">
      <alignment horizontal="left" vertical="center"/>
    </xf>
    <xf numFmtId="0" fontId="2" fillId="0" borderId="26" xfId="0" applyFont="1" applyBorder="1"/>
    <xf numFmtId="0" fontId="2" fillId="0" borderId="25" xfId="0" applyFont="1" applyBorder="1"/>
    <xf numFmtId="0" fontId="14" fillId="0" borderId="27" xfId="0" applyFont="1" applyBorder="1" applyAlignment="1">
      <alignment horizontal="left" vertical="top" wrapText="1"/>
    </xf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6" fillId="0" borderId="28" xfId="0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right" vertical="center"/>
    </xf>
    <xf numFmtId="0" fontId="12" fillId="0" borderId="19" xfId="0" applyFont="1" applyBorder="1"/>
    <xf numFmtId="0" fontId="2" fillId="0" borderId="20" xfId="0" applyFont="1" applyBorder="1"/>
    <xf numFmtId="0" fontId="14" fillId="0" borderId="0" xfId="0" applyFont="1"/>
    <xf numFmtId="0" fontId="2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16" fillId="0" borderId="23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wrapText="1"/>
    </xf>
    <xf numFmtId="0" fontId="11" fillId="0" borderId="7" xfId="0" applyFont="1" applyBorder="1"/>
    <xf numFmtId="0" fontId="2" fillId="0" borderId="13" xfId="0" applyFont="1" applyBorder="1"/>
    <xf numFmtId="0" fontId="23" fillId="0" borderId="27" xfId="0" applyFont="1" applyBorder="1" applyAlignment="1">
      <alignment horizontal="left" vertical="top" wrapText="1"/>
    </xf>
    <xf numFmtId="0" fontId="13" fillId="8" borderId="10" xfId="0" applyFont="1" applyFill="1" applyBorder="1" applyAlignment="1">
      <alignment vertical="center"/>
    </xf>
    <xf numFmtId="0" fontId="2" fillId="0" borderId="12" xfId="0" applyFont="1" applyBorder="1"/>
    <xf numFmtId="0" fontId="14" fillId="0" borderId="7" xfId="0" applyFont="1" applyBorder="1"/>
    <xf numFmtId="0" fontId="12" fillId="0" borderId="17" xfId="0" applyFont="1" applyBorder="1"/>
    <xf numFmtId="0" fontId="2" fillId="0" borderId="15" xfId="0" applyFont="1" applyBorder="1"/>
    <xf numFmtId="0" fontId="16" fillId="0" borderId="7" xfId="0" applyFont="1" applyBorder="1"/>
    <xf numFmtId="0" fontId="2" fillId="0" borderId="19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6543675</xdr:colOff>
      <xdr:row>0</xdr:row>
      <xdr:rowOff>0</xdr:rowOff>
    </xdr:from>
    <xdr:ext cx="1219200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0</xdr:row>
      <xdr:rowOff>38100</xdr:rowOff>
    </xdr:from>
    <xdr:ext cx="1219200" cy="7429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1</xdr:row>
      <xdr:rowOff>47625</xdr:rowOff>
    </xdr:from>
    <xdr:ext cx="1314450" cy="6953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2933700</xdr:colOff>
      <xdr:row>0</xdr:row>
      <xdr:rowOff>47625</xdr:rowOff>
    </xdr:from>
    <xdr:ext cx="1600200" cy="7048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2638425</xdr:colOff>
      <xdr:row>1</xdr:row>
      <xdr:rowOff>38100</xdr:rowOff>
    </xdr:from>
    <xdr:ext cx="1562100" cy="7334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542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AADB"/>
  </sheetPr>
  <dimension ref="A1:A1016"/>
  <sheetViews>
    <sheetView tabSelected="1" workbookViewId="0">
      <selection sqref="A1:A2"/>
    </sheetView>
  </sheetViews>
  <sheetFormatPr defaultColWidth="11.25" defaultRowHeight="15" customHeight="1" x14ac:dyDescent="0.25"/>
  <cols>
    <col min="1" max="1" width="102.5" customWidth="1"/>
    <col min="2" max="26" width="8.75" customWidth="1"/>
  </cols>
  <sheetData>
    <row r="1" spans="1:1" ht="21" customHeight="1" x14ac:dyDescent="0.25">
      <c r="A1" s="74" t="s">
        <v>0</v>
      </c>
    </row>
    <row r="2" spans="1:1" ht="33" customHeight="1" x14ac:dyDescent="0.25">
      <c r="A2" s="75"/>
    </row>
    <row r="3" spans="1:1" ht="15.75" customHeight="1" x14ac:dyDescent="0.25">
      <c r="A3" s="3" t="s">
        <v>2</v>
      </c>
    </row>
    <row r="4" spans="1:1" ht="15.75" customHeight="1" x14ac:dyDescent="0.25">
      <c r="A4" s="4" t="s">
        <v>3</v>
      </c>
    </row>
    <row r="5" spans="1:1" ht="15.75" customHeight="1" x14ac:dyDescent="0.25">
      <c r="A5" s="6" t="s">
        <v>4</v>
      </c>
    </row>
    <row r="6" spans="1:1" ht="16.5" customHeight="1" x14ac:dyDescent="0.25">
      <c r="A6" s="8" t="s">
        <v>5</v>
      </c>
    </row>
    <row r="7" spans="1:1" ht="16.5" customHeight="1" x14ac:dyDescent="0.25">
      <c r="A7" s="8" t="s">
        <v>6</v>
      </c>
    </row>
    <row r="8" spans="1:1" ht="15.75" customHeight="1" x14ac:dyDescent="0.25">
      <c r="A8" s="9" t="s">
        <v>7</v>
      </c>
    </row>
    <row r="9" spans="1:1" ht="15.75" customHeight="1" x14ac:dyDescent="0.25"/>
    <row r="10" spans="1:1" ht="15.75" customHeight="1" x14ac:dyDescent="0.25">
      <c r="A10" s="3" t="s">
        <v>8</v>
      </c>
    </row>
    <row r="11" spans="1:1" ht="22.5" customHeight="1" x14ac:dyDescent="0.25">
      <c r="A11" s="10" t="s">
        <v>9</v>
      </c>
    </row>
    <row r="12" spans="1:1" ht="33.75" customHeight="1" x14ac:dyDescent="0.25">
      <c r="A12" s="8" t="s">
        <v>10</v>
      </c>
    </row>
    <row r="13" spans="1:1" ht="15.75" customHeight="1" x14ac:dyDescent="0.25"/>
    <row r="14" spans="1:1" ht="15.75" customHeight="1" x14ac:dyDescent="0.25">
      <c r="A14" s="3" t="s">
        <v>11</v>
      </c>
    </row>
    <row r="15" spans="1:1" ht="15.75" customHeight="1" x14ac:dyDescent="0.25">
      <c r="A15" s="4" t="s">
        <v>12</v>
      </c>
    </row>
    <row r="16" spans="1:1" ht="31.5" x14ac:dyDescent="0.25">
      <c r="A16" s="11" t="s">
        <v>13</v>
      </c>
    </row>
    <row r="17" spans="1:1" ht="15.75" customHeight="1" x14ac:dyDescent="0.25">
      <c r="A17" s="12" t="s">
        <v>14</v>
      </c>
    </row>
    <row r="18" spans="1:1" ht="31.5" x14ac:dyDescent="0.25">
      <c r="A18" s="13" t="s">
        <v>15</v>
      </c>
    </row>
    <row r="19" spans="1:1" ht="15.75" customHeight="1" x14ac:dyDescent="0.3">
      <c r="A19" s="14"/>
    </row>
    <row r="20" spans="1:1" ht="15.75" customHeight="1" x14ac:dyDescent="0.3">
      <c r="A20" s="14" t="s">
        <v>16</v>
      </c>
    </row>
    <row r="21" spans="1:1" ht="31.5" x14ac:dyDescent="0.25">
      <c r="A21" s="8" t="s">
        <v>18</v>
      </c>
    </row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>
      <c r="A30" t="s">
        <v>218</v>
      </c>
    </row>
    <row r="31" spans="1:1" ht="15.75" customHeight="1" x14ac:dyDescent="0.25">
      <c r="A31" t="s">
        <v>219</v>
      </c>
    </row>
    <row r="32" spans="1:1" ht="15.75" customHeight="1" x14ac:dyDescent="0.25">
      <c r="A32" t="s">
        <v>220</v>
      </c>
    </row>
    <row r="33" spans="1:1" ht="15.75" customHeight="1" x14ac:dyDescent="0.25">
      <c r="A33" t="s">
        <v>221</v>
      </c>
    </row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spans="1:1" ht="15.75" customHeight="1" x14ac:dyDescent="0.25"/>
    <row r="994" spans="1:1" ht="15.75" customHeight="1" x14ac:dyDescent="0.25"/>
    <row r="995" spans="1:1" ht="15.75" customHeight="1" x14ac:dyDescent="0.25"/>
    <row r="996" spans="1:1" ht="15.75" customHeight="1" x14ac:dyDescent="0.25"/>
    <row r="997" spans="1:1" ht="15.75" customHeight="1" x14ac:dyDescent="0.25"/>
    <row r="998" spans="1:1" ht="15.75" customHeight="1" x14ac:dyDescent="0.25"/>
    <row r="999" spans="1:1" ht="15.75" customHeight="1" x14ac:dyDescent="0.25"/>
    <row r="1000" spans="1:1" ht="15.75" customHeight="1" x14ac:dyDescent="0.25"/>
    <row r="1001" spans="1:1" ht="15.75" customHeight="1" x14ac:dyDescent="0.25"/>
    <row r="1002" spans="1:1" ht="15.75" customHeight="1" x14ac:dyDescent="0.25"/>
    <row r="1003" spans="1:1" ht="15.75" customHeight="1" x14ac:dyDescent="0.25"/>
    <row r="1004" spans="1:1" ht="15.75" customHeight="1" x14ac:dyDescent="0.25"/>
    <row r="1007" spans="1:1" ht="15" customHeight="1" x14ac:dyDescent="0.25">
      <c r="A1007" t="s">
        <v>208</v>
      </c>
    </row>
    <row r="1008" spans="1:1" ht="15" customHeight="1" x14ac:dyDescent="0.25">
      <c r="A1008" t="s">
        <v>209</v>
      </c>
    </row>
    <row r="1009" spans="1:1" ht="15" customHeight="1" x14ac:dyDescent="0.25">
      <c r="A1009" t="s">
        <v>210</v>
      </c>
    </row>
    <row r="1010" spans="1:1" ht="15" customHeight="1" x14ac:dyDescent="0.25">
      <c r="A1010" t="s">
        <v>211</v>
      </c>
    </row>
    <row r="1011" spans="1:1" ht="15" customHeight="1" x14ac:dyDescent="0.25">
      <c r="A1011" t="s">
        <v>212</v>
      </c>
    </row>
    <row r="1012" spans="1:1" ht="15" customHeight="1" x14ac:dyDescent="0.25">
      <c r="A1012" t="s">
        <v>213</v>
      </c>
    </row>
    <row r="1013" spans="1:1" ht="15" customHeight="1" x14ac:dyDescent="0.25">
      <c r="A1013" t="s">
        <v>214</v>
      </c>
    </row>
    <row r="1014" spans="1:1" ht="15" customHeight="1" x14ac:dyDescent="0.25">
      <c r="A1014" t="s">
        <v>215</v>
      </c>
    </row>
    <row r="1015" spans="1:1" ht="15" customHeight="1" x14ac:dyDescent="0.25">
      <c r="A1015" t="s">
        <v>216</v>
      </c>
    </row>
    <row r="1016" spans="1:1" ht="15" customHeight="1" x14ac:dyDescent="0.25">
      <c r="A1016" t="s">
        <v>217</v>
      </c>
    </row>
  </sheetData>
  <mergeCells count="1">
    <mergeCell ref="A1:A2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000"/>
  <sheetViews>
    <sheetView showGridLines="0" workbookViewId="0"/>
  </sheetViews>
  <sheetFormatPr defaultColWidth="11.25" defaultRowHeight="15" customHeight="1" x14ac:dyDescent="0.25"/>
  <cols>
    <col min="1" max="1" width="50.75" customWidth="1"/>
    <col min="2" max="2" width="19.625" customWidth="1"/>
    <col min="3" max="6" width="10.625" customWidth="1"/>
    <col min="7" max="26" width="11.125" customWidth="1"/>
  </cols>
  <sheetData>
    <row r="1" spans="1:2" ht="22.5" customHeight="1" x14ac:dyDescent="0.25">
      <c r="A1" s="1" t="s">
        <v>1</v>
      </c>
      <c r="B1" s="2"/>
    </row>
    <row r="2" spans="1:2" ht="15.75" customHeight="1" x14ac:dyDescent="0.25">
      <c r="A2" s="5" t="s">
        <v>222</v>
      </c>
      <c r="B2" s="7"/>
    </row>
    <row r="3" spans="1:2" ht="15.75" customHeight="1" x14ac:dyDescent="0.25">
      <c r="A3" s="5" t="s">
        <v>206</v>
      </c>
      <c r="B3" s="7"/>
    </row>
    <row r="4" spans="1:2" ht="15.75" customHeight="1" x14ac:dyDescent="0.25">
      <c r="A4" s="5" t="s">
        <v>207</v>
      </c>
      <c r="B4" s="7"/>
    </row>
    <row r="5" spans="1:2" ht="15.75" customHeight="1" x14ac:dyDescent="0.25">
      <c r="A5" s="76" t="s">
        <v>19</v>
      </c>
      <c r="B5" s="77"/>
    </row>
    <row r="6" spans="1:2" ht="15.75" customHeight="1" x14ac:dyDescent="0.25">
      <c r="A6" s="15" t="s">
        <v>21</v>
      </c>
      <c r="B6" s="17">
        <v>200000</v>
      </c>
    </row>
    <row r="7" spans="1:2" ht="15.75" customHeight="1" x14ac:dyDescent="0.25">
      <c r="A7" s="15" t="s">
        <v>23</v>
      </c>
      <c r="B7" s="17">
        <v>0</v>
      </c>
    </row>
    <row r="8" spans="1:2" ht="15.75" customHeight="1" x14ac:dyDescent="0.25">
      <c r="A8" s="15" t="s">
        <v>24</v>
      </c>
      <c r="B8" s="17">
        <v>200000</v>
      </c>
    </row>
    <row r="9" spans="1:2" ht="15.75" customHeight="1" x14ac:dyDescent="0.25">
      <c r="A9" s="15" t="s">
        <v>25</v>
      </c>
      <c r="B9" s="17">
        <v>3170</v>
      </c>
    </row>
    <row r="10" spans="1:2" ht="15.75" customHeight="1" x14ac:dyDescent="0.25">
      <c r="A10" s="15" t="s">
        <v>27</v>
      </c>
      <c r="B10" s="17">
        <v>1800</v>
      </c>
    </row>
    <row r="11" spans="1:2" ht="15.75" customHeight="1" x14ac:dyDescent="0.25">
      <c r="A11" s="15" t="s">
        <v>29</v>
      </c>
      <c r="B11" s="17">
        <v>0</v>
      </c>
    </row>
    <row r="12" spans="1:2" ht="15.75" customHeight="1" x14ac:dyDescent="0.25">
      <c r="A12" s="15" t="s">
        <v>31</v>
      </c>
      <c r="B12" s="17">
        <v>0</v>
      </c>
    </row>
    <row r="13" spans="1:2" ht="15.75" customHeight="1" x14ac:dyDescent="0.25">
      <c r="A13" s="6"/>
      <c r="B13" s="20"/>
    </row>
    <row r="14" spans="1:2" ht="15.75" customHeight="1" x14ac:dyDescent="0.25">
      <c r="A14" s="76" t="s">
        <v>33</v>
      </c>
      <c r="B14" s="77"/>
    </row>
    <row r="15" spans="1:2" ht="15.75" customHeight="1" x14ac:dyDescent="0.25">
      <c r="A15" s="15" t="s">
        <v>35</v>
      </c>
      <c r="B15" s="22">
        <v>0.8</v>
      </c>
    </row>
    <row r="16" spans="1:2" ht="15.75" customHeight="1" x14ac:dyDescent="0.25">
      <c r="A16" s="15" t="s">
        <v>36</v>
      </c>
      <c r="B16" s="21">
        <f>SUM(B6*B15)</f>
        <v>160000</v>
      </c>
    </row>
    <row r="17" spans="1:4" ht="15.75" customHeight="1" x14ac:dyDescent="0.25">
      <c r="A17" s="15" t="s">
        <v>42</v>
      </c>
      <c r="B17" s="17">
        <v>0</v>
      </c>
    </row>
    <row r="18" spans="1:4" ht="15.75" customHeight="1" x14ac:dyDescent="0.25">
      <c r="A18" s="15" t="s">
        <v>44</v>
      </c>
      <c r="B18" s="21">
        <f>SUM(B6-B16)</f>
        <v>40000</v>
      </c>
      <c r="D18" s="20"/>
    </row>
    <row r="19" spans="1:4" ht="15.75" customHeight="1" x14ac:dyDescent="0.25">
      <c r="A19" s="15" t="s">
        <v>36</v>
      </c>
      <c r="B19" s="21">
        <f>SUM(B16,B17)</f>
        <v>160000</v>
      </c>
      <c r="D19" s="20"/>
    </row>
    <row r="20" spans="1:4" ht="15.75" customHeight="1" x14ac:dyDescent="0.25">
      <c r="A20" s="15" t="s">
        <v>49</v>
      </c>
      <c r="B20" s="27">
        <v>30</v>
      </c>
      <c r="D20" s="20"/>
    </row>
    <row r="21" spans="1:4" ht="15.75" customHeight="1" x14ac:dyDescent="0.25">
      <c r="A21" s="15" t="s">
        <v>51</v>
      </c>
      <c r="B21" s="28">
        <v>0.08</v>
      </c>
      <c r="D21" s="20"/>
    </row>
    <row r="22" spans="1:4" ht="15.75" customHeight="1" x14ac:dyDescent="0.25">
      <c r="A22" s="15" t="s">
        <v>54</v>
      </c>
      <c r="B22" s="17">
        <v>0</v>
      </c>
    </row>
    <row r="23" spans="1:4" ht="15.75" customHeight="1" x14ac:dyDescent="0.25">
      <c r="A23" s="6"/>
      <c r="B23" s="20"/>
    </row>
    <row r="24" spans="1:4" ht="15.75" customHeight="1" x14ac:dyDescent="0.25">
      <c r="A24" s="76" t="s">
        <v>57</v>
      </c>
      <c r="B24" s="77"/>
    </row>
    <row r="25" spans="1:4" ht="15.75" customHeight="1" x14ac:dyDescent="0.25">
      <c r="A25" s="15" t="s">
        <v>58</v>
      </c>
      <c r="B25" s="17">
        <v>0</v>
      </c>
    </row>
    <row r="26" spans="1:4" ht="15.75" customHeight="1" x14ac:dyDescent="0.25">
      <c r="A26" s="15" t="s">
        <v>59</v>
      </c>
      <c r="B26" s="22">
        <v>0.1</v>
      </c>
    </row>
    <row r="27" spans="1:4" ht="15.75" customHeight="1" x14ac:dyDescent="0.25">
      <c r="B27" s="20"/>
    </row>
    <row r="28" spans="1:4" ht="15.75" customHeight="1" x14ac:dyDescent="0.25">
      <c r="B28" s="20"/>
    </row>
    <row r="29" spans="1:4" ht="15.75" customHeight="1" x14ac:dyDescent="0.25">
      <c r="B29" s="20"/>
    </row>
    <row r="30" spans="1:4" ht="15.75" customHeight="1" x14ac:dyDescent="0.25">
      <c r="B30" s="20"/>
    </row>
    <row r="31" spans="1:4" ht="15.75" customHeight="1" x14ac:dyDescent="0.25">
      <c r="B31" s="20"/>
    </row>
    <row r="32" spans="1:4" ht="15.75" customHeight="1" x14ac:dyDescent="0.25">
      <c r="B32" s="20"/>
    </row>
    <row r="33" spans="2:2" ht="15.75" customHeight="1" x14ac:dyDescent="0.25">
      <c r="B33" s="20"/>
    </row>
    <row r="34" spans="2:2" ht="15.75" customHeight="1" x14ac:dyDescent="0.25">
      <c r="B34" s="20"/>
    </row>
    <row r="35" spans="2:2" ht="15.75" customHeight="1" x14ac:dyDescent="0.25">
      <c r="B35" s="20"/>
    </row>
    <row r="36" spans="2:2" ht="15.75" customHeight="1" x14ac:dyDescent="0.25">
      <c r="B36" s="20"/>
    </row>
    <row r="37" spans="2:2" ht="15.75" customHeight="1" x14ac:dyDescent="0.25">
      <c r="B37" s="20"/>
    </row>
    <row r="38" spans="2:2" ht="15.75" customHeight="1" x14ac:dyDescent="0.25">
      <c r="B38" s="20"/>
    </row>
    <row r="39" spans="2:2" ht="15.75" customHeight="1" x14ac:dyDescent="0.25">
      <c r="B39" s="20"/>
    </row>
    <row r="40" spans="2:2" ht="15.75" customHeight="1" x14ac:dyDescent="0.25">
      <c r="B40" s="20"/>
    </row>
    <row r="41" spans="2:2" ht="15.75" customHeight="1" x14ac:dyDescent="0.25">
      <c r="B41" s="20"/>
    </row>
    <row r="42" spans="2:2" ht="15.75" customHeight="1" x14ac:dyDescent="0.25">
      <c r="B42" s="20"/>
    </row>
    <row r="43" spans="2:2" ht="15.75" customHeight="1" x14ac:dyDescent="0.25">
      <c r="B43" s="20"/>
    </row>
    <row r="44" spans="2:2" ht="15.75" customHeight="1" x14ac:dyDescent="0.25">
      <c r="B44" s="20"/>
    </row>
    <row r="45" spans="2:2" ht="15.75" customHeight="1" x14ac:dyDescent="0.25">
      <c r="B45" s="20"/>
    </row>
    <row r="46" spans="2:2" ht="15.75" customHeight="1" x14ac:dyDescent="0.25">
      <c r="B46" s="20"/>
    </row>
    <row r="47" spans="2:2" ht="15.75" customHeight="1" x14ac:dyDescent="0.25">
      <c r="B47" s="20"/>
    </row>
    <row r="48" spans="2:2" ht="15.75" customHeight="1" x14ac:dyDescent="0.25">
      <c r="B48" s="20"/>
    </row>
    <row r="49" spans="2:2" ht="15.75" customHeight="1" x14ac:dyDescent="0.25">
      <c r="B49" s="20"/>
    </row>
    <row r="50" spans="2:2" ht="15.75" customHeight="1" x14ac:dyDescent="0.25">
      <c r="B50" s="20"/>
    </row>
    <row r="51" spans="2:2" ht="15.75" customHeight="1" x14ac:dyDescent="0.25">
      <c r="B51" s="20"/>
    </row>
    <row r="52" spans="2:2" ht="15.75" customHeight="1" x14ac:dyDescent="0.25">
      <c r="B52" s="20"/>
    </row>
    <row r="53" spans="2:2" ht="15.75" customHeight="1" x14ac:dyDescent="0.25">
      <c r="B53" s="20"/>
    </row>
    <row r="54" spans="2:2" ht="15.75" customHeight="1" x14ac:dyDescent="0.25">
      <c r="B54" s="20"/>
    </row>
    <row r="55" spans="2:2" ht="15.75" customHeight="1" x14ac:dyDescent="0.25">
      <c r="B55" s="20"/>
    </row>
    <row r="56" spans="2:2" ht="15.75" customHeight="1" x14ac:dyDescent="0.25">
      <c r="B56" s="20"/>
    </row>
    <row r="57" spans="2:2" ht="15.75" customHeight="1" x14ac:dyDescent="0.25">
      <c r="B57" s="20"/>
    </row>
    <row r="58" spans="2:2" ht="15.75" customHeight="1" x14ac:dyDescent="0.25">
      <c r="B58" s="20"/>
    </row>
    <row r="59" spans="2:2" ht="15.75" customHeight="1" x14ac:dyDescent="0.25">
      <c r="B59" s="20"/>
    </row>
    <row r="60" spans="2:2" ht="15.75" customHeight="1" x14ac:dyDescent="0.25">
      <c r="B60" s="20"/>
    </row>
    <row r="61" spans="2:2" ht="15.75" customHeight="1" x14ac:dyDescent="0.25">
      <c r="B61" s="20"/>
    </row>
    <row r="62" spans="2:2" ht="15.75" customHeight="1" x14ac:dyDescent="0.25">
      <c r="B62" s="20"/>
    </row>
    <row r="63" spans="2:2" ht="15.75" customHeight="1" x14ac:dyDescent="0.25">
      <c r="B63" s="20"/>
    </row>
    <row r="64" spans="2:2" ht="15.75" customHeight="1" x14ac:dyDescent="0.25">
      <c r="B64" s="20"/>
    </row>
    <row r="65" spans="2:2" ht="15.75" customHeight="1" x14ac:dyDescent="0.25">
      <c r="B65" s="20"/>
    </row>
    <row r="66" spans="2:2" ht="15.75" customHeight="1" x14ac:dyDescent="0.25">
      <c r="B66" s="20"/>
    </row>
    <row r="67" spans="2:2" ht="15.75" customHeight="1" x14ac:dyDescent="0.25">
      <c r="B67" s="20"/>
    </row>
    <row r="68" spans="2:2" ht="15.75" customHeight="1" x14ac:dyDescent="0.25">
      <c r="B68" s="20"/>
    </row>
    <row r="69" spans="2:2" ht="15.75" customHeight="1" x14ac:dyDescent="0.25">
      <c r="B69" s="20"/>
    </row>
    <row r="70" spans="2:2" ht="15.75" customHeight="1" x14ac:dyDescent="0.25">
      <c r="B70" s="20"/>
    </row>
    <row r="71" spans="2:2" ht="15.75" customHeight="1" x14ac:dyDescent="0.25">
      <c r="B71" s="20"/>
    </row>
    <row r="72" spans="2:2" ht="15.75" customHeight="1" x14ac:dyDescent="0.25">
      <c r="B72" s="20"/>
    </row>
    <row r="73" spans="2:2" ht="15.75" customHeight="1" x14ac:dyDescent="0.25">
      <c r="B73" s="20"/>
    </row>
    <row r="74" spans="2:2" ht="15.75" customHeight="1" x14ac:dyDescent="0.25">
      <c r="B74" s="20"/>
    </row>
    <row r="75" spans="2:2" ht="15.75" customHeight="1" x14ac:dyDescent="0.25">
      <c r="B75" s="20"/>
    </row>
    <row r="76" spans="2:2" ht="15.75" customHeight="1" x14ac:dyDescent="0.25">
      <c r="B76" s="20"/>
    </row>
    <row r="77" spans="2:2" ht="15.75" customHeight="1" x14ac:dyDescent="0.25">
      <c r="B77" s="20"/>
    </row>
    <row r="78" spans="2:2" ht="15.75" customHeight="1" x14ac:dyDescent="0.25">
      <c r="B78" s="20"/>
    </row>
    <row r="79" spans="2:2" ht="15.75" customHeight="1" x14ac:dyDescent="0.25">
      <c r="B79" s="20"/>
    </row>
    <row r="80" spans="2:2" ht="15.75" customHeight="1" x14ac:dyDescent="0.25">
      <c r="B80" s="20"/>
    </row>
    <row r="81" spans="2:2" ht="15.75" customHeight="1" x14ac:dyDescent="0.25">
      <c r="B81" s="20"/>
    </row>
    <row r="82" spans="2:2" ht="15.75" customHeight="1" x14ac:dyDescent="0.25">
      <c r="B82" s="20"/>
    </row>
    <row r="83" spans="2:2" ht="15.75" customHeight="1" x14ac:dyDescent="0.25">
      <c r="B83" s="20"/>
    </row>
    <row r="84" spans="2:2" ht="15.75" customHeight="1" x14ac:dyDescent="0.25">
      <c r="B84" s="20"/>
    </row>
    <row r="85" spans="2:2" ht="15.75" customHeight="1" x14ac:dyDescent="0.25">
      <c r="B85" s="20"/>
    </row>
    <row r="86" spans="2:2" ht="15.75" customHeight="1" x14ac:dyDescent="0.25">
      <c r="B86" s="20"/>
    </row>
    <row r="87" spans="2:2" ht="15.75" customHeight="1" x14ac:dyDescent="0.25">
      <c r="B87" s="20"/>
    </row>
    <row r="88" spans="2:2" ht="15.75" customHeight="1" x14ac:dyDescent="0.25">
      <c r="B88" s="20"/>
    </row>
    <row r="89" spans="2:2" ht="15.75" customHeight="1" x14ac:dyDescent="0.25">
      <c r="B89" s="20"/>
    </row>
    <row r="90" spans="2:2" ht="15.75" customHeight="1" x14ac:dyDescent="0.25">
      <c r="B90" s="20"/>
    </row>
    <row r="91" spans="2:2" ht="15.75" customHeight="1" x14ac:dyDescent="0.25">
      <c r="B91" s="20"/>
    </row>
    <row r="92" spans="2:2" ht="15.75" customHeight="1" x14ac:dyDescent="0.25">
      <c r="B92" s="20"/>
    </row>
    <row r="93" spans="2:2" ht="15.75" customHeight="1" x14ac:dyDescent="0.25">
      <c r="B93" s="20"/>
    </row>
    <row r="94" spans="2:2" ht="15.75" customHeight="1" x14ac:dyDescent="0.25">
      <c r="B94" s="20"/>
    </row>
    <row r="95" spans="2:2" ht="15.75" customHeight="1" x14ac:dyDescent="0.25">
      <c r="B95" s="20"/>
    </row>
    <row r="96" spans="2:2" ht="15.75" customHeight="1" x14ac:dyDescent="0.25">
      <c r="B96" s="20"/>
    </row>
    <row r="97" spans="2:2" ht="15.75" customHeight="1" x14ac:dyDescent="0.25">
      <c r="B97" s="20"/>
    </row>
    <row r="98" spans="2:2" ht="15.75" customHeight="1" x14ac:dyDescent="0.25">
      <c r="B98" s="20"/>
    </row>
    <row r="99" spans="2:2" ht="15.75" customHeight="1" x14ac:dyDescent="0.25">
      <c r="B99" s="20"/>
    </row>
    <row r="100" spans="2:2" ht="15.75" customHeight="1" x14ac:dyDescent="0.25">
      <c r="B100" s="20"/>
    </row>
    <row r="101" spans="2:2" ht="15.75" customHeight="1" x14ac:dyDescent="0.25">
      <c r="B101" s="20"/>
    </row>
    <row r="102" spans="2:2" ht="15.75" customHeight="1" x14ac:dyDescent="0.25">
      <c r="B102" s="20"/>
    </row>
    <row r="103" spans="2:2" ht="15.75" customHeight="1" x14ac:dyDescent="0.25">
      <c r="B103" s="20"/>
    </row>
    <row r="104" spans="2:2" ht="15.75" customHeight="1" x14ac:dyDescent="0.25">
      <c r="B104" s="20"/>
    </row>
    <row r="105" spans="2:2" ht="15.75" customHeight="1" x14ac:dyDescent="0.25">
      <c r="B105" s="20"/>
    </row>
    <row r="106" spans="2:2" ht="15.75" customHeight="1" x14ac:dyDescent="0.25">
      <c r="B106" s="20"/>
    </row>
    <row r="107" spans="2:2" ht="15.75" customHeight="1" x14ac:dyDescent="0.25">
      <c r="B107" s="20"/>
    </row>
    <row r="108" spans="2:2" ht="15.75" customHeight="1" x14ac:dyDescent="0.25">
      <c r="B108" s="20"/>
    </row>
    <row r="109" spans="2:2" ht="15.75" customHeight="1" x14ac:dyDescent="0.25">
      <c r="B109" s="20"/>
    </row>
    <row r="110" spans="2:2" ht="15.75" customHeight="1" x14ac:dyDescent="0.25">
      <c r="B110" s="20"/>
    </row>
    <row r="111" spans="2:2" ht="15.75" customHeight="1" x14ac:dyDescent="0.25">
      <c r="B111" s="20"/>
    </row>
    <row r="112" spans="2:2" ht="15.75" customHeight="1" x14ac:dyDescent="0.25">
      <c r="B112" s="20"/>
    </row>
    <row r="113" spans="2:2" ht="15.75" customHeight="1" x14ac:dyDescent="0.25">
      <c r="B113" s="20"/>
    </row>
    <row r="114" spans="2:2" ht="15.75" customHeight="1" x14ac:dyDescent="0.25">
      <c r="B114" s="20"/>
    </row>
    <row r="115" spans="2:2" ht="15.75" customHeight="1" x14ac:dyDescent="0.25">
      <c r="B115" s="20"/>
    </row>
    <row r="116" spans="2:2" ht="15.75" customHeight="1" x14ac:dyDescent="0.25">
      <c r="B116" s="20"/>
    </row>
    <row r="117" spans="2:2" ht="15.75" customHeight="1" x14ac:dyDescent="0.25">
      <c r="B117" s="20"/>
    </row>
    <row r="118" spans="2:2" ht="15.75" customHeight="1" x14ac:dyDescent="0.25">
      <c r="B118" s="20"/>
    </row>
    <row r="119" spans="2:2" ht="15.75" customHeight="1" x14ac:dyDescent="0.25">
      <c r="B119" s="20"/>
    </row>
    <row r="120" spans="2:2" ht="15.75" customHeight="1" x14ac:dyDescent="0.25">
      <c r="B120" s="20"/>
    </row>
    <row r="121" spans="2:2" ht="15.75" customHeight="1" x14ac:dyDescent="0.25">
      <c r="B121" s="20"/>
    </row>
    <row r="122" spans="2:2" ht="15.75" customHeight="1" x14ac:dyDescent="0.25">
      <c r="B122" s="20"/>
    </row>
    <row r="123" spans="2:2" ht="15.75" customHeight="1" x14ac:dyDescent="0.25">
      <c r="B123" s="20"/>
    </row>
    <row r="124" spans="2:2" ht="15.75" customHeight="1" x14ac:dyDescent="0.25">
      <c r="B124" s="20"/>
    </row>
    <row r="125" spans="2:2" ht="15.75" customHeight="1" x14ac:dyDescent="0.25">
      <c r="B125" s="20"/>
    </row>
    <row r="126" spans="2:2" ht="15.75" customHeight="1" x14ac:dyDescent="0.25">
      <c r="B126" s="20"/>
    </row>
    <row r="127" spans="2:2" ht="15.75" customHeight="1" x14ac:dyDescent="0.25">
      <c r="B127" s="20"/>
    </row>
    <row r="128" spans="2:2" ht="15.75" customHeight="1" x14ac:dyDescent="0.25">
      <c r="B128" s="20"/>
    </row>
    <row r="129" spans="2:2" ht="15.75" customHeight="1" x14ac:dyDescent="0.25">
      <c r="B129" s="20"/>
    </row>
    <row r="130" spans="2:2" ht="15.75" customHeight="1" x14ac:dyDescent="0.25">
      <c r="B130" s="20"/>
    </row>
    <row r="131" spans="2:2" ht="15.75" customHeight="1" x14ac:dyDescent="0.25">
      <c r="B131" s="20"/>
    </row>
    <row r="132" spans="2:2" ht="15.75" customHeight="1" x14ac:dyDescent="0.25">
      <c r="B132" s="20"/>
    </row>
    <row r="133" spans="2:2" ht="15.75" customHeight="1" x14ac:dyDescent="0.25">
      <c r="B133" s="20"/>
    </row>
    <row r="134" spans="2:2" ht="15.75" customHeight="1" x14ac:dyDescent="0.25">
      <c r="B134" s="20"/>
    </row>
    <row r="135" spans="2:2" ht="15.75" customHeight="1" x14ac:dyDescent="0.25">
      <c r="B135" s="20"/>
    </row>
    <row r="136" spans="2:2" ht="15.75" customHeight="1" x14ac:dyDescent="0.25">
      <c r="B136" s="20"/>
    </row>
    <row r="137" spans="2:2" ht="15.75" customHeight="1" x14ac:dyDescent="0.25">
      <c r="B137" s="20"/>
    </row>
    <row r="138" spans="2:2" ht="15.75" customHeight="1" x14ac:dyDescent="0.25">
      <c r="B138" s="20"/>
    </row>
    <row r="139" spans="2:2" ht="15.75" customHeight="1" x14ac:dyDescent="0.25">
      <c r="B139" s="20"/>
    </row>
    <row r="140" spans="2:2" ht="15.75" customHeight="1" x14ac:dyDescent="0.25">
      <c r="B140" s="20"/>
    </row>
    <row r="141" spans="2:2" ht="15.75" customHeight="1" x14ac:dyDescent="0.25">
      <c r="B141" s="20"/>
    </row>
    <row r="142" spans="2:2" ht="15.75" customHeight="1" x14ac:dyDescent="0.25">
      <c r="B142" s="20"/>
    </row>
    <row r="143" spans="2:2" ht="15.75" customHeight="1" x14ac:dyDescent="0.25">
      <c r="B143" s="20"/>
    </row>
    <row r="144" spans="2:2" ht="15.75" customHeight="1" x14ac:dyDescent="0.25">
      <c r="B144" s="20"/>
    </row>
    <row r="145" spans="2:2" ht="15.75" customHeight="1" x14ac:dyDescent="0.25">
      <c r="B145" s="20"/>
    </row>
    <row r="146" spans="2:2" ht="15.75" customHeight="1" x14ac:dyDescent="0.25">
      <c r="B146" s="20"/>
    </row>
    <row r="147" spans="2:2" ht="15.75" customHeight="1" x14ac:dyDescent="0.25">
      <c r="B147" s="20"/>
    </row>
    <row r="148" spans="2:2" ht="15.75" customHeight="1" x14ac:dyDescent="0.25">
      <c r="B148" s="20"/>
    </row>
    <row r="149" spans="2:2" ht="15.75" customHeight="1" x14ac:dyDescent="0.25">
      <c r="B149" s="20"/>
    </row>
    <row r="150" spans="2:2" ht="15.75" customHeight="1" x14ac:dyDescent="0.25">
      <c r="B150" s="20"/>
    </row>
    <row r="151" spans="2:2" ht="15.75" customHeight="1" x14ac:dyDescent="0.25">
      <c r="B151" s="20"/>
    </row>
    <row r="152" spans="2:2" ht="15.75" customHeight="1" x14ac:dyDescent="0.25">
      <c r="B152" s="20"/>
    </row>
    <row r="153" spans="2:2" ht="15.75" customHeight="1" x14ac:dyDescent="0.25">
      <c r="B153" s="20"/>
    </row>
    <row r="154" spans="2:2" ht="15.75" customHeight="1" x14ac:dyDescent="0.25">
      <c r="B154" s="20"/>
    </row>
    <row r="155" spans="2:2" ht="15.75" customHeight="1" x14ac:dyDescent="0.25">
      <c r="B155" s="20"/>
    </row>
    <row r="156" spans="2:2" ht="15.75" customHeight="1" x14ac:dyDescent="0.25">
      <c r="B156" s="20"/>
    </row>
    <row r="157" spans="2:2" ht="15.75" customHeight="1" x14ac:dyDescent="0.25">
      <c r="B157" s="20"/>
    </row>
    <row r="158" spans="2:2" ht="15.75" customHeight="1" x14ac:dyDescent="0.25">
      <c r="B158" s="20"/>
    </row>
    <row r="159" spans="2:2" ht="15.75" customHeight="1" x14ac:dyDescent="0.25">
      <c r="B159" s="20"/>
    </row>
    <row r="160" spans="2:2" ht="15.75" customHeight="1" x14ac:dyDescent="0.25">
      <c r="B160" s="20"/>
    </row>
    <row r="161" spans="2:2" ht="15.75" customHeight="1" x14ac:dyDescent="0.25">
      <c r="B161" s="20"/>
    </row>
    <row r="162" spans="2:2" ht="15.75" customHeight="1" x14ac:dyDescent="0.25">
      <c r="B162" s="20"/>
    </row>
    <row r="163" spans="2:2" ht="15.75" customHeight="1" x14ac:dyDescent="0.25">
      <c r="B163" s="20"/>
    </row>
    <row r="164" spans="2:2" ht="15.75" customHeight="1" x14ac:dyDescent="0.25">
      <c r="B164" s="20"/>
    </row>
    <row r="165" spans="2:2" ht="15.75" customHeight="1" x14ac:dyDescent="0.25">
      <c r="B165" s="20"/>
    </row>
    <row r="166" spans="2:2" ht="15.75" customHeight="1" x14ac:dyDescent="0.25">
      <c r="B166" s="20"/>
    </row>
    <row r="167" spans="2:2" ht="15.75" customHeight="1" x14ac:dyDescent="0.25">
      <c r="B167" s="20"/>
    </row>
    <row r="168" spans="2:2" ht="15.75" customHeight="1" x14ac:dyDescent="0.25">
      <c r="B168" s="20"/>
    </row>
    <row r="169" spans="2:2" ht="15.75" customHeight="1" x14ac:dyDescent="0.25">
      <c r="B169" s="20"/>
    </row>
    <row r="170" spans="2:2" ht="15.75" customHeight="1" x14ac:dyDescent="0.25">
      <c r="B170" s="20"/>
    </row>
    <row r="171" spans="2:2" ht="15.75" customHeight="1" x14ac:dyDescent="0.25">
      <c r="B171" s="20"/>
    </row>
    <row r="172" spans="2:2" ht="15.75" customHeight="1" x14ac:dyDescent="0.25">
      <c r="B172" s="20"/>
    </row>
    <row r="173" spans="2:2" ht="15.75" customHeight="1" x14ac:dyDescent="0.25">
      <c r="B173" s="20"/>
    </row>
    <row r="174" spans="2:2" ht="15.75" customHeight="1" x14ac:dyDescent="0.25">
      <c r="B174" s="20"/>
    </row>
    <row r="175" spans="2:2" ht="15.75" customHeight="1" x14ac:dyDescent="0.25">
      <c r="B175" s="20"/>
    </row>
    <row r="176" spans="2:2" ht="15.75" customHeight="1" x14ac:dyDescent="0.25">
      <c r="B176" s="20"/>
    </row>
    <row r="177" spans="2:2" ht="15.75" customHeight="1" x14ac:dyDescent="0.25">
      <c r="B177" s="20"/>
    </row>
    <row r="178" spans="2:2" ht="15.75" customHeight="1" x14ac:dyDescent="0.25">
      <c r="B178" s="20"/>
    </row>
    <row r="179" spans="2:2" ht="15.75" customHeight="1" x14ac:dyDescent="0.25">
      <c r="B179" s="20"/>
    </row>
    <row r="180" spans="2:2" ht="15.75" customHeight="1" x14ac:dyDescent="0.25">
      <c r="B180" s="20"/>
    </row>
    <row r="181" spans="2:2" ht="15.75" customHeight="1" x14ac:dyDescent="0.25">
      <c r="B181" s="20"/>
    </row>
    <row r="182" spans="2:2" ht="15.75" customHeight="1" x14ac:dyDescent="0.25">
      <c r="B182" s="20"/>
    </row>
    <row r="183" spans="2:2" ht="15.75" customHeight="1" x14ac:dyDescent="0.25">
      <c r="B183" s="20"/>
    </row>
    <row r="184" spans="2:2" ht="15.75" customHeight="1" x14ac:dyDescent="0.25">
      <c r="B184" s="20"/>
    </row>
    <row r="185" spans="2:2" ht="15.75" customHeight="1" x14ac:dyDescent="0.25">
      <c r="B185" s="20"/>
    </row>
    <row r="186" spans="2:2" ht="15.75" customHeight="1" x14ac:dyDescent="0.25">
      <c r="B186" s="20"/>
    </row>
    <row r="187" spans="2:2" ht="15.75" customHeight="1" x14ac:dyDescent="0.25">
      <c r="B187" s="20"/>
    </row>
    <row r="188" spans="2:2" ht="15.75" customHeight="1" x14ac:dyDescent="0.25">
      <c r="B188" s="20"/>
    </row>
    <row r="189" spans="2:2" ht="15.75" customHeight="1" x14ac:dyDescent="0.25">
      <c r="B189" s="20"/>
    </row>
    <row r="190" spans="2:2" ht="15.75" customHeight="1" x14ac:dyDescent="0.25">
      <c r="B190" s="20"/>
    </row>
    <row r="191" spans="2:2" ht="15.75" customHeight="1" x14ac:dyDescent="0.25">
      <c r="B191" s="20"/>
    </row>
    <row r="192" spans="2:2" ht="15.75" customHeight="1" x14ac:dyDescent="0.25">
      <c r="B192" s="20"/>
    </row>
    <row r="193" spans="2:2" ht="15.75" customHeight="1" x14ac:dyDescent="0.25">
      <c r="B193" s="20"/>
    </row>
    <row r="194" spans="2:2" ht="15.75" customHeight="1" x14ac:dyDescent="0.25">
      <c r="B194" s="20"/>
    </row>
    <row r="195" spans="2:2" ht="15.75" customHeight="1" x14ac:dyDescent="0.25">
      <c r="B195" s="20"/>
    </row>
    <row r="196" spans="2:2" ht="15.75" customHeight="1" x14ac:dyDescent="0.25">
      <c r="B196" s="20"/>
    </row>
    <row r="197" spans="2:2" ht="15.75" customHeight="1" x14ac:dyDescent="0.25">
      <c r="B197" s="20"/>
    </row>
    <row r="198" spans="2:2" ht="15.75" customHeight="1" x14ac:dyDescent="0.25">
      <c r="B198" s="20"/>
    </row>
    <row r="199" spans="2:2" ht="15.75" customHeight="1" x14ac:dyDescent="0.25">
      <c r="B199" s="20"/>
    </row>
    <row r="200" spans="2:2" ht="15.75" customHeight="1" x14ac:dyDescent="0.25">
      <c r="B200" s="20"/>
    </row>
    <row r="201" spans="2:2" ht="15.75" customHeight="1" x14ac:dyDescent="0.25">
      <c r="B201" s="20"/>
    </row>
    <row r="202" spans="2:2" ht="15.75" customHeight="1" x14ac:dyDescent="0.25">
      <c r="B202" s="20"/>
    </row>
    <row r="203" spans="2:2" ht="15.75" customHeight="1" x14ac:dyDescent="0.25">
      <c r="B203" s="20"/>
    </row>
    <row r="204" spans="2:2" ht="15.75" customHeight="1" x14ac:dyDescent="0.25">
      <c r="B204" s="20"/>
    </row>
    <row r="205" spans="2:2" ht="15.75" customHeight="1" x14ac:dyDescent="0.25">
      <c r="B205" s="20"/>
    </row>
    <row r="206" spans="2:2" ht="15.75" customHeight="1" x14ac:dyDescent="0.25">
      <c r="B206" s="20"/>
    </row>
    <row r="207" spans="2:2" ht="15.75" customHeight="1" x14ac:dyDescent="0.25">
      <c r="B207" s="20"/>
    </row>
    <row r="208" spans="2:2" ht="15.75" customHeight="1" x14ac:dyDescent="0.25">
      <c r="B208" s="20"/>
    </row>
    <row r="209" spans="2:2" ht="15.75" customHeight="1" x14ac:dyDescent="0.25">
      <c r="B209" s="20"/>
    </row>
    <row r="210" spans="2:2" ht="15.75" customHeight="1" x14ac:dyDescent="0.25">
      <c r="B210" s="20"/>
    </row>
    <row r="211" spans="2:2" ht="15.75" customHeight="1" x14ac:dyDescent="0.25">
      <c r="B211" s="20"/>
    </row>
    <row r="212" spans="2:2" ht="15.75" customHeight="1" x14ac:dyDescent="0.25">
      <c r="B212" s="20"/>
    </row>
    <row r="213" spans="2:2" ht="15.75" customHeight="1" x14ac:dyDescent="0.25">
      <c r="B213" s="20"/>
    </row>
    <row r="214" spans="2:2" ht="15.75" customHeight="1" x14ac:dyDescent="0.25">
      <c r="B214" s="20"/>
    </row>
    <row r="215" spans="2:2" ht="15.75" customHeight="1" x14ac:dyDescent="0.25">
      <c r="B215" s="20"/>
    </row>
    <row r="216" spans="2:2" ht="15.75" customHeight="1" x14ac:dyDescent="0.25">
      <c r="B216" s="20"/>
    </row>
    <row r="217" spans="2:2" ht="15.75" customHeight="1" x14ac:dyDescent="0.25">
      <c r="B217" s="20"/>
    </row>
    <row r="218" spans="2:2" ht="15.75" customHeight="1" x14ac:dyDescent="0.25">
      <c r="B218" s="20"/>
    </row>
    <row r="219" spans="2:2" ht="15.75" customHeight="1" x14ac:dyDescent="0.25">
      <c r="B219" s="20"/>
    </row>
    <row r="220" spans="2:2" ht="15.75" customHeight="1" x14ac:dyDescent="0.25">
      <c r="B220" s="20"/>
    </row>
    <row r="221" spans="2:2" ht="15.75" customHeight="1" x14ac:dyDescent="0.25">
      <c r="B221" s="20"/>
    </row>
    <row r="222" spans="2:2" ht="15.75" customHeight="1" x14ac:dyDescent="0.25">
      <c r="B222" s="20"/>
    </row>
    <row r="223" spans="2:2" ht="15.75" customHeight="1" x14ac:dyDescent="0.25">
      <c r="B223" s="20"/>
    </row>
    <row r="224" spans="2:2" ht="15.75" customHeight="1" x14ac:dyDescent="0.25">
      <c r="B224" s="20"/>
    </row>
    <row r="225" spans="2:2" ht="15.75" customHeight="1" x14ac:dyDescent="0.25">
      <c r="B225" s="20"/>
    </row>
    <row r="226" spans="2:2" ht="15.75" customHeight="1" x14ac:dyDescent="0.25">
      <c r="B226" s="20"/>
    </row>
    <row r="227" spans="2:2" ht="15.75" customHeight="1" x14ac:dyDescent="0.25"/>
    <row r="228" spans="2:2" ht="15.75" customHeight="1" x14ac:dyDescent="0.25"/>
    <row r="229" spans="2:2" ht="15.75" customHeight="1" x14ac:dyDescent="0.25"/>
    <row r="230" spans="2:2" ht="15.75" customHeight="1" x14ac:dyDescent="0.25"/>
    <row r="231" spans="2:2" ht="15.75" customHeight="1" x14ac:dyDescent="0.25"/>
    <row r="232" spans="2:2" ht="15.75" customHeight="1" x14ac:dyDescent="0.25"/>
    <row r="233" spans="2:2" ht="15.75" customHeight="1" x14ac:dyDescent="0.25"/>
    <row r="234" spans="2:2" ht="15.75" customHeight="1" x14ac:dyDescent="0.25"/>
    <row r="235" spans="2:2" ht="15.75" customHeight="1" x14ac:dyDescent="0.25"/>
    <row r="236" spans="2:2" ht="15.75" customHeight="1" x14ac:dyDescent="0.25"/>
    <row r="237" spans="2:2" ht="15.75" customHeight="1" x14ac:dyDescent="0.25"/>
    <row r="238" spans="2:2" ht="15.75" customHeight="1" x14ac:dyDescent="0.25"/>
    <row r="239" spans="2:2" ht="15.75" customHeight="1" x14ac:dyDescent="0.25"/>
    <row r="240" spans="2: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5:B5"/>
    <mergeCell ref="A14:B14"/>
    <mergeCell ref="A24:B2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AR1000"/>
  <sheetViews>
    <sheetView showGridLines="0" workbookViewId="0"/>
  </sheetViews>
  <sheetFormatPr defaultColWidth="11.25" defaultRowHeight="15" customHeight="1" x14ac:dyDescent="0.25"/>
  <cols>
    <col min="1" max="1" width="26.5" customWidth="1"/>
    <col min="2" max="3" width="11.125" customWidth="1"/>
    <col min="4" max="44" width="10.625" customWidth="1"/>
  </cols>
  <sheetData>
    <row r="2" spans="1:44" ht="15" customHeight="1" x14ac:dyDescent="0.25">
      <c r="A2" s="78" t="s">
        <v>17</v>
      </c>
      <c r="B2" s="79"/>
      <c r="C2" s="2"/>
      <c r="D2" s="2"/>
    </row>
    <row r="3" spans="1:44" ht="15" customHeight="1" x14ac:dyDescent="0.25">
      <c r="A3" s="80"/>
      <c r="B3" s="81"/>
      <c r="C3" s="16"/>
      <c r="D3" s="16"/>
    </row>
    <row r="4" spans="1:44" ht="15" customHeight="1" x14ac:dyDescent="0.25">
      <c r="A4" s="82" t="s">
        <v>222</v>
      </c>
      <c r="B4" s="81"/>
      <c r="C4" s="16"/>
      <c r="D4" s="16"/>
    </row>
    <row r="5" spans="1:44" ht="15.75" customHeight="1" x14ac:dyDescent="0.25">
      <c r="A5" s="80"/>
      <c r="B5" s="81"/>
      <c r="C5" s="16"/>
      <c r="D5" s="16"/>
    </row>
    <row r="6" spans="1:44" ht="15.75" customHeight="1" x14ac:dyDescent="0.25">
      <c r="A6" s="83" t="s">
        <v>28</v>
      </c>
      <c r="B6" s="84"/>
      <c r="C6" s="84"/>
      <c r="D6" s="84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</row>
    <row r="7" spans="1:44" ht="15.75" customHeight="1" x14ac:dyDescent="0.25">
      <c r="A7" s="23"/>
      <c r="B7" s="23" t="s">
        <v>37</v>
      </c>
      <c r="C7" s="23" t="s">
        <v>38</v>
      </c>
      <c r="D7" s="23" t="s">
        <v>39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</row>
    <row r="8" spans="1:44" ht="15.75" customHeight="1" x14ac:dyDescent="0.25">
      <c r="A8" s="15" t="s">
        <v>46</v>
      </c>
      <c r="B8" s="17">
        <v>125.97144486692014</v>
      </c>
      <c r="C8" s="17">
        <v>125.97144486692014</v>
      </c>
      <c r="D8" s="21">
        <f t="shared" ref="D8:D11" si="0">SUM(B8:C8)/2</f>
        <v>125.97144486692014</v>
      </c>
    </row>
    <row r="9" spans="1:44" ht="15.75" customHeight="1" x14ac:dyDescent="0.25">
      <c r="A9" s="15" t="s">
        <v>48</v>
      </c>
      <c r="B9" s="17">
        <v>0</v>
      </c>
      <c r="C9" s="17">
        <v>0</v>
      </c>
      <c r="D9" s="21">
        <f t="shared" si="0"/>
        <v>0</v>
      </c>
    </row>
    <row r="10" spans="1:44" ht="15.75" customHeight="1" x14ac:dyDescent="0.25">
      <c r="A10" s="15" t="s">
        <v>50</v>
      </c>
      <c r="B10" s="17">
        <v>0</v>
      </c>
      <c r="C10" s="17">
        <v>0</v>
      </c>
      <c r="D10" s="21">
        <f t="shared" si="0"/>
        <v>0</v>
      </c>
    </row>
    <row r="11" spans="1:44" ht="15.75" customHeight="1" x14ac:dyDescent="0.25">
      <c r="A11" s="15" t="s">
        <v>53</v>
      </c>
      <c r="B11" s="17">
        <v>0</v>
      </c>
      <c r="C11" s="17">
        <v>0</v>
      </c>
      <c r="D11" s="21">
        <f t="shared" si="0"/>
        <v>0</v>
      </c>
    </row>
    <row r="12" spans="1:44" ht="15.75" customHeight="1" x14ac:dyDescent="0.25">
      <c r="A12" s="30" t="s">
        <v>56</v>
      </c>
      <c r="B12" s="21">
        <f t="shared" ref="B12:D12" si="1">SUM(B8:B11)</f>
        <v>125.97144486692014</v>
      </c>
      <c r="C12" s="21">
        <f t="shared" si="1"/>
        <v>125.97144486692014</v>
      </c>
      <c r="D12" s="21">
        <f t="shared" si="1"/>
        <v>125.97144486692014</v>
      </c>
    </row>
    <row r="13" spans="1:44" ht="15.75" customHeight="1" x14ac:dyDescent="0.25">
      <c r="A13" s="15" t="s">
        <v>60</v>
      </c>
      <c r="B13" s="22">
        <v>0.72054794520547949</v>
      </c>
      <c r="C13" s="22">
        <v>0.72054794520547949</v>
      </c>
      <c r="D13" s="32">
        <f>SUM(B13*B15)+(C13*C15)</f>
        <v>0.72054794520547949</v>
      </c>
    </row>
    <row r="14" spans="1:44" ht="15.75" customHeight="1" x14ac:dyDescent="0.25">
      <c r="A14" s="15" t="s">
        <v>63</v>
      </c>
      <c r="B14" s="29">
        <v>182.5</v>
      </c>
      <c r="C14" s="33">
        <f>SUM(D14-B14)</f>
        <v>182.5</v>
      </c>
      <c r="D14" s="33">
        <v>365</v>
      </c>
    </row>
    <row r="15" spans="1:44" ht="15.75" customHeight="1" x14ac:dyDescent="0.25">
      <c r="A15" s="15" t="s">
        <v>65</v>
      </c>
      <c r="B15" s="32">
        <v>0.5</v>
      </c>
      <c r="C15" s="32">
        <v>0.5</v>
      </c>
      <c r="D15" s="32">
        <f>SUM(B15+C15)</f>
        <v>1</v>
      </c>
    </row>
    <row r="16" spans="1:44" ht="15.75" customHeight="1" x14ac:dyDescent="0.25">
      <c r="A16" s="15" t="s">
        <v>66</v>
      </c>
      <c r="B16" s="21">
        <f t="shared" ref="B16:C16" si="2">SUM(B12*B13*B14)</f>
        <v>16565.244999999999</v>
      </c>
      <c r="C16" s="21">
        <f t="shared" si="2"/>
        <v>16565.244999999999</v>
      </c>
      <c r="D16" s="21">
        <f>SUM(B16:C16)</f>
        <v>33130.49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7" ht="15.75" customHeight="1" x14ac:dyDescent="0.25">
      <c r="A17" s="15" t="s">
        <v>70</v>
      </c>
      <c r="B17" s="21">
        <f t="shared" ref="B17:C17" si="3">SUM(B16)/(B15*12)</f>
        <v>2760.8741666666665</v>
      </c>
      <c r="C17" s="21">
        <f t="shared" si="3"/>
        <v>2760.8741666666665</v>
      </c>
      <c r="D17" s="21">
        <f>SUM(D16/12)</f>
        <v>2760.8741666666665</v>
      </c>
    </row>
    <row r="18" spans="1:27" ht="15.75" customHeight="1" x14ac:dyDescent="0.25"/>
    <row r="19" spans="1:27" ht="15.75" customHeight="1" x14ac:dyDescent="0.25">
      <c r="A19" s="15" t="s">
        <v>72</v>
      </c>
      <c r="B19" s="17">
        <v>100</v>
      </c>
    </row>
    <row r="20" spans="1:27" ht="15.75" customHeight="1" x14ac:dyDescent="0.25">
      <c r="A20" s="15" t="s">
        <v>73</v>
      </c>
      <c r="B20" s="17">
        <v>100</v>
      </c>
      <c r="Z20" s="20">
        <f>SUM(B20*AA23)</f>
        <v>8399.9999999999782</v>
      </c>
      <c r="AA20" s="6"/>
    </row>
    <row r="21" spans="1:27" ht="15.75" customHeight="1" x14ac:dyDescent="0.25">
      <c r="A21" s="15" t="s">
        <v>74</v>
      </c>
      <c r="B21" s="29">
        <v>6.9041095890410773</v>
      </c>
      <c r="Z21" s="6">
        <f>SUM(B14/30)</f>
        <v>6.083333333333333</v>
      </c>
      <c r="AA21" s="6">
        <f t="shared" ref="AA21:AA22" si="4">SUM(Z21*B21)</f>
        <v>41.999999999999886</v>
      </c>
    </row>
    <row r="22" spans="1:27" ht="15.75" customHeight="1" x14ac:dyDescent="0.25">
      <c r="A22" s="15" t="s">
        <v>75</v>
      </c>
      <c r="B22" s="29">
        <v>6.9041095890410773</v>
      </c>
      <c r="Z22" s="6">
        <f>SUM(C14/30)</f>
        <v>6.083333333333333</v>
      </c>
      <c r="AA22" s="6">
        <f t="shared" si="4"/>
        <v>41.999999999999886</v>
      </c>
    </row>
    <row r="23" spans="1:27" ht="15.75" customHeight="1" x14ac:dyDescent="0.25">
      <c r="A23" s="15" t="s">
        <v>76</v>
      </c>
      <c r="B23" s="21">
        <f>SUM(B19*AA23)</f>
        <v>8399.9999999999782</v>
      </c>
      <c r="AA23" s="6">
        <f>SUM(AA21:AA22)</f>
        <v>83.999999999999773</v>
      </c>
    </row>
    <row r="24" spans="1:27" ht="15.75" customHeight="1" x14ac:dyDescent="0.25"/>
    <row r="25" spans="1:27" ht="15.75" customHeight="1" x14ac:dyDescent="0.25">
      <c r="A25" s="15" t="s">
        <v>77</v>
      </c>
      <c r="B25" s="21">
        <f>SUM(B23,D16)</f>
        <v>41530.489999999976</v>
      </c>
      <c r="AA25" s="6"/>
    </row>
    <row r="26" spans="1:27" ht="15.75" customHeight="1" x14ac:dyDescent="0.25">
      <c r="A26" s="15" t="s">
        <v>78</v>
      </c>
      <c r="B26" s="21">
        <f>SUM(B25/12)</f>
        <v>3460.8741666666647</v>
      </c>
    </row>
    <row r="27" spans="1:27" ht="15.75" customHeight="1" x14ac:dyDescent="0.25"/>
    <row r="28" spans="1:27" ht="15.75" customHeight="1" x14ac:dyDescent="0.25">
      <c r="A28" s="85" t="s">
        <v>79</v>
      </c>
      <c r="B28" s="77"/>
    </row>
    <row r="29" spans="1:27" ht="15.75" customHeight="1" x14ac:dyDescent="0.25">
      <c r="A29" s="15" t="s">
        <v>80</v>
      </c>
      <c r="B29" s="21">
        <f>PMT('Property Details'!B21/12,'Property Details'!B20*12,'Property Details'!B19)-'Property Details'!B22</f>
        <v>-1174.0233182070019</v>
      </c>
    </row>
    <row r="30" spans="1:27" ht="15.75" customHeight="1" x14ac:dyDescent="0.25">
      <c r="A30" s="15" t="s">
        <v>57</v>
      </c>
      <c r="B30" s="21">
        <f>SUM('Property Details'!B25*'Property Details'!B26/-12)</f>
        <v>0</v>
      </c>
    </row>
    <row r="31" spans="1:27" ht="15.75" customHeight="1" x14ac:dyDescent="0.25">
      <c r="A31" s="15" t="s">
        <v>81</v>
      </c>
      <c r="B31" s="21">
        <f>SUM('Property Details'!B10/-12)</f>
        <v>-150</v>
      </c>
    </row>
    <row r="32" spans="1:27" ht="15.75" customHeight="1" x14ac:dyDescent="0.25">
      <c r="A32" s="15" t="s">
        <v>82</v>
      </c>
      <c r="B32" s="21">
        <f>SUM('Property Details'!B9/-12)</f>
        <v>-264.16666666666669</v>
      </c>
    </row>
    <row r="33" spans="1:2" ht="15.75" customHeight="1" x14ac:dyDescent="0.25">
      <c r="A33" s="15" t="s">
        <v>83</v>
      </c>
      <c r="B33" s="21">
        <f>SUM(Z20/-12)</f>
        <v>-699.99999999999818</v>
      </c>
    </row>
    <row r="34" spans="1:2" ht="15.75" customHeight="1" x14ac:dyDescent="0.25">
      <c r="A34" s="15" t="s">
        <v>84</v>
      </c>
      <c r="B34" s="17">
        <v>-450</v>
      </c>
    </row>
    <row r="35" spans="1:2" ht="15.75" customHeight="1" x14ac:dyDescent="0.25">
      <c r="A35" s="34" t="s">
        <v>85</v>
      </c>
      <c r="B35" s="17">
        <v>-125</v>
      </c>
    </row>
    <row r="36" spans="1:2" ht="15.75" customHeight="1" x14ac:dyDescent="0.25">
      <c r="A36" s="15" t="s">
        <v>86</v>
      </c>
      <c r="B36" s="17">
        <v>-100</v>
      </c>
    </row>
    <row r="37" spans="1:2" ht="15.75" customHeight="1" x14ac:dyDescent="0.25">
      <c r="A37" s="15" t="s">
        <v>87</v>
      </c>
      <c r="B37" s="17">
        <v>-125</v>
      </c>
    </row>
    <row r="38" spans="1:2" ht="15.75" customHeight="1" x14ac:dyDescent="0.25">
      <c r="A38" s="35"/>
      <c r="B38" s="6"/>
    </row>
    <row r="39" spans="1:2" ht="15.75" customHeight="1" x14ac:dyDescent="0.25">
      <c r="A39" s="36" t="s">
        <v>88</v>
      </c>
      <c r="B39" s="21">
        <f>SUM(B29:B37)</f>
        <v>-3088.1899848736666</v>
      </c>
    </row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2:B3"/>
    <mergeCell ref="A4:B5"/>
    <mergeCell ref="A6:D6"/>
    <mergeCell ref="A28:B28"/>
  </mergeCells>
  <conditionalFormatting sqref="E20">
    <cfRule type="notContainsBlanks" dxfId="0" priority="1">
      <formula>LEN(TRIM(E20))&gt;0</formula>
    </cfRule>
  </conditionalFormatting>
  <dataValidations count="1">
    <dataValidation type="decimal" operator="lessThanOrEqual" allowBlank="1" showDropDown="1" showInputMessage="1" showErrorMessage="1" prompt="Expenses need to be entered as a negative number" sqref="B34:B37" xr:uid="{00000000-0002-0000-0200-000000000000}">
      <formula1>0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1000"/>
  <sheetViews>
    <sheetView showGridLines="0" workbookViewId="0"/>
  </sheetViews>
  <sheetFormatPr defaultColWidth="11.25" defaultRowHeight="15" customHeight="1" x14ac:dyDescent="0.25"/>
  <cols>
    <col min="1" max="1" width="40" customWidth="1"/>
    <col min="2" max="2" width="19" customWidth="1"/>
    <col min="3" max="6" width="10.625" customWidth="1"/>
    <col min="7" max="26" width="11.125" customWidth="1"/>
  </cols>
  <sheetData>
    <row r="1" spans="1:2" ht="15" customHeight="1" x14ac:dyDescent="0.25">
      <c r="A1" s="78" t="s">
        <v>20</v>
      </c>
      <c r="B1" s="79"/>
    </row>
    <row r="2" spans="1:2" ht="15" customHeight="1" x14ac:dyDescent="0.25">
      <c r="A2" s="80"/>
      <c r="B2" s="81"/>
    </row>
    <row r="3" spans="1:2" ht="15" customHeight="1" x14ac:dyDescent="0.25">
      <c r="A3" s="80"/>
      <c r="B3" s="81"/>
    </row>
    <row r="4" spans="1:2" ht="15" customHeight="1" x14ac:dyDescent="0.25">
      <c r="A4" s="80"/>
      <c r="B4" s="81"/>
    </row>
    <row r="5" spans="1:2" ht="3" customHeight="1" x14ac:dyDescent="0.25">
      <c r="A5" s="80"/>
      <c r="B5" s="81"/>
    </row>
    <row r="6" spans="1:2" ht="15" hidden="1" customHeight="1" x14ac:dyDescent="0.25">
      <c r="A6" s="80"/>
      <c r="B6" s="81"/>
    </row>
    <row r="7" spans="1:2" ht="15.75" customHeight="1" x14ac:dyDescent="0.25">
      <c r="A7" s="15" t="s">
        <v>22</v>
      </c>
      <c r="B7" s="18">
        <f>'Income and Expenses'!B25</f>
        <v>41530.489999999976</v>
      </c>
    </row>
    <row r="8" spans="1:2" ht="15.75" customHeight="1" x14ac:dyDescent="0.25">
      <c r="A8" s="15" t="s">
        <v>26</v>
      </c>
      <c r="B8" s="18">
        <f>SUM('Income and Expenses'!B39*12)</f>
        <v>-37058.279818483999</v>
      </c>
    </row>
    <row r="9" spans="1:2" ht="15.75" customHeight="1" x14ac:dyDescent="0.25">
      <c r="A9" s="15" t="s">
        <v>30</v>
      </c>
      <c r="B9" s="18">
        <f>SUM(B7,B8)</f>
        <v>4472.2101815159767</v>
      </c>
    </row>
    <row r="10" spans="1:2" ht="15.75" customHeight="1" x14ac:dyDescent="0.25">
      <c r="A10" s="15" t="s">
        <v>32</v>
      </c>
      <c r="B10" s="21">
        <f>SUM(B9/12)</f>
        <v>372.68418179299806</v>
      </c>
    </row>
    <row r="11" spans="1:2" ht="15.75" customHeight="1" x14ac:dyDescent="0.25">
      <c r="A11" s="15" t="s">
        <v>34</v>
      </c>
      <c r="B11" s="24">
        <f>SUM(B9/('Property Details'!B6+'Property Details'!B7+'Property Details'!B11+'Property Details'!B12))</f>
        <v>2.2361050907579883E-2</v>
      </c>
    </row>
    <row r="12" spans="1:2" ht="15.75" customHeight="1" x14ac:dyDescent="0.25">
      <c r="A12" s="15" t="s">
        <v>40</v>
      </c>
      <c r="B12" s="24">
        <f>SUM('Deal Calculations'!B9/('Property Details'!B6+'Property Details'!B11+'Property Details'!B12+'Property Details'!B7-'Property Details'!B19-'Property Details'!B25))</f>
        <v>0.11180525453789941</v>
      </c>
    </row>
    <row r="13" spans="1:2" ht="15.75" customHeight="1" x14ac:dyDescent="0.25">
      <c r="A13" s="15" t="s">
        <v>45</v>
      </c>
      <c r="B13" s="18">
        <f>SUM('Property Details'!B8-'Property Details'!B6-'Property Details'!B11-'Property Details'!B12)</f>
        <v>0</v>
      </c>
    </row>
    <row r="14" spans="1:2" ht="15.75" customHeight="1" x14ac:dyDescent="0.25">
      <c r="B14" s="25"/>
    </row>
    <row r="15" spans="1:2" ht="15.75" customHeight="1" x14ac:dyDescent="0.25">
      <c r="B15" s="25"/>
    </row>
    <row r="16" spans="1:2" ht="15.75" customHeight="1" x14ac:dyDescent="0.25">
      <c r="B16" s="25"/>
    </row>
    <row r="17" spans="2:2" ht="15.75" customHeight="1" x14ac:dyDescent="0.25">
      <c r="B17" s="25"/>
    </row>
    <row r="18" spans="2:2" ht="15.75" customHeight="1" x14ac:dyDescent="0.25">
      <c r="B18" s="25"/>
    </row>
    <row r="19" spans="2:2" ht="15.75" customHeight="1" x14ac:dyDescent="0.25">
      <c r="B19" s="25"/>
    </row>
    <row r="20" spans="2:2" ht="15.75" customHeight="1" x14ac:dyDescent="0.25">
      <c r="B20" s="25"/>
    </row>
    <row r="21" spans="2:2" ht="15.75" customHeight="1" x14ac:dyDescent="0.25">
      <c r="B21" s="25"/>
    </row>
    <row r="22" spans="2:2" ht="15.75" customHeight="1" x14ac:dyDescent="0.25">
      <c r="B22" s="25"/>
    </row>
    <row r="23" spans="2:2" ht="15.75" customHeight="1" x14ac:dyDescent="0.25">
      <c r="B23" s="25"/>
    </row>
    <row r="24" spans="2:2" ht="15.75" customHeight="1" x14ac:dyDescent="0.25">
      <c r="B24" s="25"/>
    </row>
    <row r="25" spans="2:2" ht="15.75" customHeight="1" x14ac:dyDescent="0.25">
      <c r="B25" s="25"/>
    </row>
    <row r="26" spans="2:2" ht="15.75" customHeight="1" x14ac:dyDescent="0.25">
      <c r="B26" s="25"/>
    </row>
    <row r="27" spans="2:2" ht="15.75" customHeight="1" x14ac:dyDescent="0.25">
      <c r="B27" s="25"/>
    </row>
    <row r="28" spans="2:2" ht="15.75" customHeight="1" x14ac:dyDescent="0.25">
      <c r="B28" s="25"/>
    </row>
    <row r="29" spans="2:2" ht="15.75" customHeight="1" x14ac:dyDescent="0.25">
      <c r="B29" s="25"/>
    </row>
    <row r="30" spans="2:2" ht="15.75" customHeight="1" x14ac:dyDescent="0.25">
      <c r="B30" s="25"/>
    </row>
    <row r="31" spans="2:2" ht="15.75" customHeight="1" x14ac:dyDescent="0.25">
      <c r="B31" s="25"/>
    </row>
    <row r="32" spans="2:2" ht="15.75" customHeight="1" x14ac:dyDescent="0.25">
      <c r="B32" s="25"/>
    </row>
    <row r="33" spans="2:2" ht="15.75" customHeight="1" x14ac:dyDescent="0.25">
      <c r="B33" s="25"/>
    </row>
    <row r="34" spans="2:2" ht="15.75" customHeight="1" x14ac:dyDescent="0.25">
      <c r="B34" s="25"/>
    </row>
    <row r="35" spans="2:2" ht="15.75" customHeight="1" x14ac:dyDescent="0.25">
      <c r="B35" s="25"/>
    </row>
    <row r="36" spans="2:2" ht="15.75" customHeight="1" x14ac:dyDescent="0.25">
      <c r="B36" s="25"/>
    </row>
    <row r="37" spans="2:2" ht="15.75" customHeight="1" x14ac:dyDescent="0.25">
      <c r="B37" s="25"/>
    </row>
    <row r="38" spans="2:2" ht="15.75" customHeight="1" x14ac:dyDescent="0.25">
      <c r="B38" s="25"/>
    </row>
    <row r="39" spans="2:2" ht="15.75" customHeight="1" x14ac:dyDescent="0.25">
      <c r="B39" s="25"/>
    </row>
    <row r="40" spans="2:2" ht="15.75" customHeight="1" x14ac:dyDescent="0.25">
      <c r="B40" s="25"/>
    </row>
    <row r="41" spans="2:2" ht="15.75" customHeight="1" x14ac:dyDescent="0.25">
      <c r="B41" s="25"/>
    </row>
    <row r="42" spans="2:2" ht="15.75" customHeight="1" x14ac:dyDescent="0.25">
      <c r="B42" s="25"/>
    </row>
    <row r="43" spans="2:2" ht="15.75" customHeight="1" x14ac:dyDescent="0.25">
      <c r="B43" s="25"/>
    </row>
    <row r="44" spans="2:2" ht="15.75" customHeight="1" x14ac:dyDescent="0.25">
      <c r="B44" s="25"/>
    </row>
    <row r="45" spans="2:2" ht="15.75" customHeight="1" x14ac:dyDescent="0.25">
      <c r="B45" s="25"/>
    </row>
    <row r="46" spans="2:2" ht="15.75" customHeight="1" x14ac:dyDescent="0.25">
      <c r="B46" s="25"/>
    </row>
    <row r="47" spans="2:2" ht="15.75" customHeight="1" x14ac:dyDescent="0.25">
      <c r="B47" s="25"/>
    </row>
    <row r="48" spans="2:2" ht="15.75" customHeight="1" x14ac:dyDescent="0.25">
      <c r="B48" s="25"/>
    </row>
    <row r="49" spans="2:2" ht="15.75" customHeight="1" x14ac:dyDescent="0.25">
      <c r="B49" s="25"/>
    </row>
    <row r="50" spans="2:2" ht="15.75" customHeight="1" x14ac:dyDescent="0.25">
      <c r="B50" s="25"/>
    </row>
    <row r="51" spans="2:2" ht="15.75" customHeight="1" x14ac:dyDescent="0.25">
      <c r="B51" s="25"/>
    </row>
    <row r="52" spans="2:2" ht="15.75" customHeight="1" x14ac:dyDescent="0.25">
      <c r="B52" s="25"/>
    </row>
    <row r="53" spans="2:2" ht="15.75" customHeight="1" x14ac:dyDescent="0.25">
      <c r="B53" s="25"/>
    </row>
    <row r="54" spans="2:2" ht="15.75" customHeight="1" x14ac:dyDescent="0.25">
      <c r="B54" s="25"/>
    </row>
    <row r="55" spans="2:2" ht="15.75" customHeight="1" x14ac:dyDescent="0.25">
      <c r="B55" s="25"/>
    </row>
    <row r="56" spans="2:2" ht="15.75" customHeight="1" x14ac:dyDescent="0.25">
      <c r="B56" s="25"/>
    </row>
    <row r="57" spans="2:2" ht="15.75" customHeight="1" x14ac:dyDescent="0.25">
      <c r="B57" s="25"/>
    </row>
    <row r="58" spans="2:2" ht="15.75" customHeight="1" x14ac:dyDescent="0.25">
      <c r="B58" s="25"/>
    </row>
    <row r="59" spans="2:2" ht="15.75" customHeight="1" x14ac:dyDescent="0.25">
      <c r="B59" s="25"/>
    </row>
    <row r="60" spans="2:2" ht="15.75" customHeight="1" x14ac:dyDescent="0.25">
      <c r="B60" s="25"/>
    </row>
    <row r="61" spans="2:2" ht="15.75" customHeight="1" x14ac:dyDescent="0.25">
      <c r="B61" s="25"/>
    </row>
    <row r="62" spans="2:2" ht="15.75" customHeight="1" x14ac:dyDescent="0.25">
      <c r="B62" s="25"/>
    </row>
    <row r="63" spans="2:2" ht="15.75" customHeight="1" x14ac:dyDescent="0.25">
      <c r="B63" s="25"/>
    </row>
    <row r="64" spans="2:2" ht="15.75" customHeight="1" x14ac:dyDescent="0.25">
      <c r="B64" s="25"/>
    </row>
    <row r="65" spans="2:2" ht="15.75" customHeight="1" x14ac:dyDescent="0.25">
      <c r="B65" s="25"/>
    </row>
    <row r="66" spans="2:2" ht="15.75" customHeight="1" x14ac:dyDescent="0.25">
      <c r="B66" s="25"/>
    </row>
    <row r="67" spans="2:2" ht="15.75" customHeight="1" x14ac:dyDescent="0.25">
      <c r="B67" s="25"/>
    </row>
    <row r="68" spans="2:2" ht="15.75" customHeight="1" x14ac:dyDescent="0.25">
      <c r="B68" s="25"/>
    </row>
    <row r="69" spans="2:2" ht="15.75" customHeight="1" x14ac:dyDescent="0.25">
      <c r="B69" s="25"/>
    </row>
    <row r="70" spans="2:2" ht="15.75" customHeight="1" x14ac:dyDescent="0.25">
      <c r="B70" s="25"/>
    </row>
    <row r="71" spans="2:2" ht="15.75" customHeight="1" x14ac:dyDescent="0.25">
      <c r="B71" s="25"/>
    </row>
    <row r="72" spans="2:2" ht="15.75" customHeight="1" x14ac:dyDescent="0.25">
      <c r="B72" s="25"/>
    </row>
    <row r="73" spans="2:2" ht="15.75" customHeight="1" x14ac:dyDescent="0.25">
      <c r="B73" s="25"/>
    </row>
    <row r="74" spans="2:2" ht="15.75" customHeight="1" x14ac:dyDescent="0.25">
      <c r="B74" s="25"/>
    </row>
    <row r="75" spans="2:2" ht="15.75" customHeight="1" x14ac:dyDescent="0.25">
      <c r="B75" s="25"/>
    </row>
    <row r="76" spans="2:2" ht="15.75" customHeight="1" x14ac:dyDescent="0.25">
      <c r="B76" s="25"/>
    </row>
    <row r="77" spans="2:2" ht="15.75" customHeight="1" x14ac:dyDescent="0.25">
      <c r="B77" s="25"/>
    </row>
    <row r="78" spans="2:2" ht="15.75" customHeight="1" x14ac:dyDescent="0.25">
      <c r="B78" s="25"/>
    </row>
    <row r="79" spans="2:2" ht="15.75" customHeight="1" x14ac:dyDescent="0.25">
      <c r="B79" s="25"/>
    </row>
    <row r="80" spans="2:2" ht="15.75" customHeight="1" x14ac:dyDescent="0.25">
      <c r="B80" s="25"/>
    </row>
    <row r="81" spans="2:2" ht="15.75" customHeight="1" x14ac:dyDescent="0.25">
      <c r="B81" s="25"/>
    </row>
    <row r="82" spans="2:2" ht="15.75" customHeight="1" x14ac:dyDescent="0.25">
      <c r="B82" s="25"/>
    </row>
    <row r="83" spans="2:2" ht="15.75" customHeight="1" x14ac:dyDescent="0.25">
      <c r="B83" s="25"/>
    </row>
    <row r="84" spans="2:2" ht="15.75" customHeight="1" x14ac:dyDescent="0.25">
      <c r="B84" s="25"/>
    </row>
    <row r="85" spans="2:2" ht="15.75" customHeight="1" x14ac:dyDescent="0.25">
      <c r="B85" s="25"/>
    </row>
    <row r="86" spans="2:2" ht="15.75" customHeight="1" x14ac:dyDescent="0.25">
      <c r="B86" s="25"/>
    </row>
    <row r="87" spans="2:2" ht="15.75" customHeight="1" x14ac:dyDescent="0.25">
      <c r="B87" s="25"/>
    </row>
    <row r="88" spans="2:2" ht="15.75" customHeight="1" x14ac:dyDescent="0.25">
      <c r="B88" s="25"/>
    </row>
    <row r="89" spans="2:2" ht="15.75" customHeight="1" x14ac:dyDescent="0.25">
      <c r="B89" s="25"/>
    </row>
    <row r="90" spans="2:2" ht="15.75" customHeight="1" x14ac:dyDescent="0.25">
      <c r="B90" s="25"/>
    </row>
    <row r="91" spans="2:2" ht="15.75" customHeight="1" x14ac:dyDescent="0.25">
      <c r="B91" s="25"/>
    </row>
    <row r="92" spans="2:2" ht="15.75" customHeight="1" x14ac:dyDescent="0.25">
      <c r="B92" s="25"/>
    </row>
    <row r="93" spans="2:2" ht="15.75" customHeight="1" x14ac:dyDescent="0.25">
      <c r="B93" s="25"/>
    </row>
    <row r="94" spans="2:2" ht="15.75" customHeight="1" x14ac:dyDescent="0.25">
      <c r="B94" s="25"/>
    </row>
    <row r="95" spans="2:2" ht="15.75" customHeight="1" x14ac:dyDescent="0.25">
      <c r="B95" s="25"/>
    </row>
    <row r="96" spans="2:2" ht="15.75" customHeight="1" x14ac:dyDescent="0.25">
      <c r="B96" s="25"/>
    </row>
    <row r="97" spans="2:2" ht="15.75" customHeight="1" x14ac:dyDescent="0.25">
      <c r="B97" s="25"/>
    </row>
    <row r="98" spans="2:2" ht="15.75" customHeight="1" x14ac:dyDescent="0.25">
      <c r="B98" s="25"/>
    </row>
    <row r="99" spans="2:2" ht="15.75" customHeight="1" x14ac:dyDescent="0.25">
      <c r="B99" s="25"/>
    </row>
    <row r="100" spans="2:2" ht="15.75" customHeight="1" x14ac:dyDescent="0.25">
      <c r="B100" s="25"/>
    </row>
    <row r="101" spans="2:2" ht="15.75" customHeight="1" x14ac:dyDescent="0.25">
      <c r="B101" s="25"/>
    </row>
    <row r="102" spans="2:2" ht="15.75" customHeight="1" x14ac:dyDescent="0.25">
      <c r="B102" s="25"/>
    </row>
    <row r="103" spans="2:2" ht="15.75" customHeight="1" x14ac:dyDescent="0.25">
      <c r="B103" s="25"/>
    </row>
    <row r="104" spans="2:2" ht="15.75" customHeight="1" x14ac:dyDescent="0.25">
      <c r="B104" s="25"/>
    </row>
    <row r="105" spans="2:2" ht="15.75" customHeight="1" x14ac:dyDescent="0.25">
      <c r="B105" s="25"/>
    </row>
    <row r="106" spans="2:2" ht="15.75" customHeight="1" x14ac:dyDescent="0.25">
      <c r="B106" s="25"/>
    </row>
    <row r="107" spans="2:2" ht="15.75" customHeight="1" x14ac:dyDescent="0.25">
      <c r="B107" s="25"/>
    </row>
    <row r="108" spans="2:2" ht="15.75" customHeight="1" x14ac:dyDescent="0.25">
      <c r="B108" s="25"/>
    </row>
    <row r="109" spans="2:2" ht="15.75" customHeight="1" x14ac:dyDescent="0.25">
      <c r="B109" s="25"/>
    </row>
    <row r="110" spans="2:2" ht="15.75" customHeight="1" x14ac:dyDescent="0.25">
      <c r="B110" s="25"/>
    </row>
    <row r="111" spans="2:2" ht="15.75" customHeight="1" x14ac:dyDescent="0.25">
      <c r="B111" s="25"/>
    </row>
    <row r="112" spans="2:2" ht="15.75" customHeight="1" x14ac:dyDescent="0.25">
      <c r="B112" s="25"/>
    </row>
    <row r="113" spans="2:2" ht="15.75" customHeight="1" x14ac:dyDescent="0.25">
      <c r="B113" s="25"/>
    </row>
    <row r="114" spans="2:2" ht="15.75" customHeight="1" x14ac:dyDescent="0.25">
      <c r="B114" s="25"/>
    </row>
    <row r="115" spans="2:2" ht="15.75" customHeight="1" x14ac:dyDescent="0.25">
      <c r="B115" s="25"/>
    </row>
    <row r="116" spans="2:2" ht="15.75" customHeight="1" x14ac:dyDescent="0.25">
      <c r="B116" s="25"/>
    </row>
    <row r="117" spans="2:2" ht="15.75" customHeight="1" x14ac:dyDescent="0.25">
      <c r="B117" s="25"/>
    </row>
    <row r="118" spans="2:2" ht="15.75" customHeight="1" x14ac:dyDescent="0.25">
      <c r="B118" s="25"/>
    </row>
    <row r="119" spans="2:2" ht="15.75" customHeight="1" x14ac:dyDescent="0.25">
      <c r="B119" s="25"/>
    </row>
    <row r="120" spans="2:2" ht="15.75" customHeight="1" x14ac:dyDescent="0.25">
      <c r="B120" s="25"/>
    </row>
    <row r="121" spans="2:2" ht="15.75" customHeight="1" x14ac:dyDescent="0.25">
      <c r="B121" s="25"/>
    </row>
    <row r="122" spans="2:2" ht="15.75" customHeight="1" x14ac:dyDescent="0.25">
      <c r="B122" s="25"/>
    </row>
    <row r="123" spans="2:2" ht="15.75" customHeight="1" x14ac:dyDescent="0.25">
      <c r="B123" s="25"/>
    </row>
    <row r="124" spans="2:2" ht="15.75" customHeight="1" x14ac:dyDescent="0.25">
      <c r="B124" s="25"/>
    </row>
    <row r="125" spans="2:2" ht="15.75" customHeight="1" x14ac:dyDescent="0.25">
      <c r="B125" s="25"/>
    </row>
    <row r="126" spans="2:2" ht="15.75" customHeight="1" x14ac:dyDescent="0.25">
      <c r="B126" s="25"/>
    </row>
    <row r="127" spans="2:2" ht="15.75" customHeight="1" x14ac:dyDescent="0.25">
      <c r="B127" s="25"/>
    </row>
    <row r="128" spans="2:2" ht="15.75" customHeight="1" x14ac:dyDescent="0.25">
      <c r="B128" s="25"/>
    </row>
    <row r="129" spans="2:2" ht="15.75" customHeight="1" x14ac:dyDescent="0.25">
      <c r="B129" s="25"/>
    </row>
    <row r="130" spans="2:2" ht="15.75" customHeight="1" x14ac:dyDescent="0.25">
      <c r="B130" s="25"/>
    </row>
    <row r="131" spans="2:2" ht="15.75" customHeight="1" x14ac:dyDescent="0.25">
      <c r="B131" s="25"/>
    </row>
    <row r="132" spans="2:2" ht="15.75" customHeight="1" x14ac:dyDescent="0.25">
      <c r="B132" s="25"/>
    </row>
    <row r="133" spans="2:2" ht="15.75" customHeight="1" x14ac:dyDescent="0.25">
      <c r="B133" s="25"/>
    </row>
    <row r="134" spans="2:2" ht="15.75" customHeight="1" x14ac:dyDescent="0.25">
      <c r="B134" s="25"/>
    </row>
    <row r="135" spans="2:2" ht="15.75" customHeight="1" x14ac:dyDescent="0.25">
      <c r="B135" s="25"/>
    </row>
    <row r="136" spans="2:2" ht="15.75" customHeight="1" x14ac:dyDescent="0.25">
      <c r="B136" s="25"/>
    </row>
    <row r="137" spans="2:2" ht="15.75" customHeight="1" x14ac:dyDescent="0.25">
      <c r="B137" s="25"/>
    </row>
    <row r="138" spans="2:2" ht="15.75" customHeight="1" x14ac:dyDescent="0.25">
      <c r="B138" s="25"/>
    </row>
    <row r="139" spans="2:2" ht="15.75" customHeight="1" x14ac:dyDescent="0.25">
      <c r="B139" s="25"/>
    </row>
    <row r="140" spans="2:2" ht="15.75" customHeight="1" x14ac:dyDescent="0.25">
      <c r="B140" s="25"/>
    </row>
    <row r="141" spans="2:2" ht="15.75" customHeight="1" x14ac:dyDescent="0.25">
      <c r="B141" s="25"/>
    </row>
    <row r="142" spans="2:2" ht="15.75" customHeight="1" x14ac:dyDescent="0.25">
      <c r="B142" s="25"/>
    </row>
    <row r="143" spans="2:2" ht="15.75" customHeight="1" x14ac:dyDescent="0.25">
      <c r="B143" s="25"/>
    </row>
    <row r="144" spans="2:2" ht="15.75" customHeight="1" x14ac:dyDescent="0.25">
      <c r="B144" s="25"/>
    </row>
    <row r="145" spans="2:2" ht="15.75" customHeight="1" x14ac:dyDescent="0.25">
      <c r="B145" s="25"/>
    </row>
    <row r="146" spans="2:2" ht="15.75" customHeight="1" x14ac:dyDescent="0.25">
      <c r="B146" s="25"/>
    </row>
    <row r="147" spans="2:2" ht="15.75" customHeight="1" x14ac:dyDescent="0.25">
      <c r="B147" s="25"/>
    </row>
    <row r="148" spans="2:2" ht="15.75" customHeight="1" x14ac:dyDescent="0.25">
      <c r="B148" s="25"/>
    </row>
    <row r="149" spans="2:2" ht="15.75" customHeight="1" x14ac:dyDescent="0.25">
      <c r="B149" s="25"/>
    </row>
    <row r="150" spans="2:2" ht="15.75" customHeight="1" x14ac:dyDescent="0.25">
      <c r="B150" s="25"/>
    </row>
    <row r="151" spans="2:2" ht="15.75" customHeight="1" x14ac:dyDescent="0.25">
      <c r="B151" s="25"/>
    </row>
    <row r="152" spans="2:2" ht="15.75" customHeight="1" x14ac:dyDescent="0.25">
      <c r="B152" s="25"/>
    </row>
    <row r="153" spans="2:2" ht="15.75" customHeight="1" x14ac:dyDescent="0.25">
      <c r="B153" s="25"/>
    </row>
    <row r="154" spans="2:2" ht="15.75" customHeight="1" x14ac:dyDescent="0.25">
      <c r="B154" s="25"/>
    </row>
    <row r="155" spans="2:2" ht="15.75" customHeight="1" x14ac:dyDescent="0.25">
      <c r="B155" s="25"/>
    </row>
    <row r="156" spans="2:2" ht="15.75" customHeight="1" x14ac:dyDescent="0.25">
      <c r="B156" s="25"/>
    </row>
    <row r="157" spans="2:2" ht="15.75" customHeight="1" x14ac:dyDescent="0.25">
      <c r="B157" s="25"/>
    </row>
    <row r="158" spans="2:2" ht="15.75" customHeight="1" x14ac:dyDescent="0.25">
      <c r="B158" s="25"/>
    </row>
    <row r="159" spans="2:2" ht="15.75" customHeight="1" x14ac:dyDescent="0.25">
      <c r="B159" s="25"/>
    </row>
    <row r="160" spans="2:2" ht="15.75" customHeight="1" x14ac:dyDescent="0.25">
      <c r="B160" s="25"/>
    </row>
    <row r="161" spans="2:2" ht="15.75" customHeight="1" x14ac:dyDescent="0.25">
      <c r="B161" s="25"/>
    </row>
    <row r="162" spans="2:2" ht="15.75" customHeight="1" x14ac:dyDescent="0.25">
      <c r="B162" s="25"/>
    </row>
    <row r="163" spans="2:2" ht="15.75" customHeight="1" x14ac:dyDescent="0.25">
      <c r="B163" s="25"/>
    </row>
    <row r="164" spans="2:2" ht="15.75" customHeight="1" x14ac:dyDescent="0.25">
      <c r="B164" s="25"/>
    </row>
    <row r="165" spans="2:2" ht="15.75" customHeight="1" x14ac:dyDescent="0.25">
      <c r="B165" s="25"/>
    </row>
    <row r="166" spans="2:2" ht="15.75" customHeight="1" x14ac:dyDescent="0.25">
      <c r="B166" s="25"/>
    </row>
    <row r="167" spans="2:2" ht="15.75" customHeight="1" x14ac:dyDescent="0.25">
      <c r="B167" s="25"/>
    </row>
    <row r="168" spans="2:2" ht="15.75" customHeight="1" x14ac:dyDescent="0.25">
      <c r="B168" s="25"/>
    </row>
    <row r="169" spans="2:2" ht="15.75" customHeight="1" x14ac:dyDescent="0.25">
      <c r="B169" s="25"/>
    </row>
    <row r="170" spans="2:2" ht="15.75" customHeight="1" x14ac:dyDescent="0.25">
      <c r="B170" s="25"/>
    </row>
    <row r="171" spans="2:2" ht="15.75" customHeight="1" x14ac:dyDescent="0.25">
      <c r="B171" s="25"/>
    </row>
    <row r="172" spans="2:2" ht="15.75" customHeight="1" x14ac:dyDescent="0.25">
      <c r="B172" s="25"/>
    </row>
    <row r="173" spans="2:2" ht="15.75" customHeight="1" x14ac:dyDescent="0.25">
      <c r="B173" s="25"/>
    </row>
    <row r="174" spans="2:2" ht="15.75" customHeight="1" x14ac:dyDescent="0.25">
      <c r="B174" s="25"/>
    </row>
    <row r="175" spans="2:2" ht="15.75" customHeight="1" x14ac:dyDescent="0.25">
      <c r="B175" s="25"/>
    </row>
    <row r="176" spans="2:2" ht="15.75" customHeight="1" x14ac:dyDescent="0.25">
      <c r="B176" s="25"/>
    </row>
    <row r="177" spans="2:2" ht="15.75" customHeight="1" x14ac:dyDescent="0.25">
      <c r="B177" s="25"/>
    </row>
    <row r="178" spans="2:2" ht="15.75" customHeight="1" x14ac:dyDescent="0.25">
      <c r="B178" s="25"/>
    </row>
    <row r="179" spans="2:2" ht="15.75" customHeight="1" x14ac:dyDescent="0.25">
      <c r="B179" s="25"/>
    </row>
    <row r="180" spans="2:2" ht="15.75" customHeight="1" x14ac:dyDescent="0.25">
      <c r="B180" s="25"/>
    </row>
    <row r="181" spans="2:2" ht="15.75" customHeight="1" x14ac:dyDescent="0.25">
      <c r="B181" s="25"/>
    </row>
    <row r="182" spans="2:2" ht="15.75" customHeight="1" x14ac:dyDescent="0.25">
      <c r="B182" s="25"/>
    </row>
    <row r="183" spans="2:2" ht="15.75" customHeight="1" x14ac:dyDescent="0.25">
      <c r="B183" s="25"/>
    </row>
    <row r="184" spans="2:2" ht="15.75" customHeight="1" x14ac:dyDescent="0.25">
      <c r="B184" s="25"/>
    </row>
    <row r="185" spans="2:2" ht="15.75" customHeight="1" x14ac:dyDescent="0.25">
      <c r="B185" s="25"/>
    </row>
    <row r="186" spans="2:2" ht="15.75" customHeight="1" x14ac:dyDescent="0.25">
      <c r="B186" s="25"/>
    </row>
    <row r="187" spans="2:2" ht="15.75" customHeight="1" x14ac:dyDescent="0.25">
      <c r="B187" s="25"/>
    </row>
    <row r="188" spans="2:2" ht="15.75" customHeight="1" x14ac:dyDescent="0.25">
      <c r="B188" s="25"/>
    </row>
    <row r="189" spans="2:2" ht="15.75" customHeight="1" x14ac:dyDescent="0.25">
      <c r="B189" s="25"/>
    </row>
    <row r="190" spans="2:2" ht="15.75" customHeight="1" x14ac:dyDescent="0.25">
      <c r="B190" s="25"/>
    </row>
    <row r="191" spans="2:2" ht="15.75" customHeight="1" x14ac:dyDescent="0.25">
      <c r="B191" s="25"/>
    </row>
    <row r="192" spans="2:2" ht="15.75" customHeight="1" x14ac:dyDescent="0.25">
      <c r="B192" s="25"/>
    </row>
    <row r="193" spans="2:2" ht="15.75" customHeight="1" x14ac:dyDescent="0.25">
      <c r="B193" s="25"/>
    </row>
    <row r="194" spans="2:2" ht="15.75" customHeight="1" x14ac:dyDescent="0.25">
      <c r="B194" s="25"/>
    </row>
    <row r="195" spans="2:2" ht="15.75" customHeight="1" x14ac:dyDescent="0.25">
      <c r="B195" s="25"/>
    </row>
    <row r="196" spans="2:2" ht="15.75" customHeight="1" x14ac:dyDescent="0.25">
      <c r="B196" s="25"/>
    </row>
    <row r="197" spans="2:2" ht="15.75" customHeight="1" x14ac:dyDescent="0.25">
      <c r="B197" s="25"/>
    </row>
    <row r="198" spans="2:2" ht="15.75" customHeight="1" x14ac:dyDescent="0.25">
      <c r="B198" s="25"/>
    </row>
    <row r="199" spans="2:2" ht="15.75" customHeight="1" x14ac:dyDescent="0.25">
      <c r="B199" s="25"/>
    </row>
    <row r="200" spans="2:2" ht="15.75" customHeight="1" x14ac:dyDescent="0.25">
      <c r="B200" s="25"/>
    </row>
    <row r="201" spans="2:2" ht="15.75" customHeight="1" x14ac:dyDescent="0.25">
      <c r="B201" s="25"/>
    </row>
    <row r="202" spans="2:2" ht="15.75" customHeight="1" x14ac:dyDescent="0.25">
      <c r="B202" s="25"/>
    </row>
    <row r="203" spans="2:2" ht="15.75" customHeight="1" x14ac:dyDescent="0.25">
      <c r="B203" s="25"/>
    </row>
    <row r="204" spans="2:2" ht="15.75" customHeight="1" x14ac:dyDescent="0.25">
      <c r="B204" s="25"/>
    </row>
    <row r="205" spans="2:2" ht="15.75" customHeight="1" x14ac:dyDescent="0.25">
      <c r="B205" s="25"/>
    </row>
    <row r="206" spans="2:2" ht="15.75" customHeight="1" x14ac:dyDescent="0.25">
      <c r="B206" s="25"/>
    </row>
    <row r="207" spans="2:2" ht="15.75" customHeight="1" x14ac:dyDescent="0.25">
      <c r="B207" s="25"/>
    </row>
    <row r="208" spans="2:2" ht="15.75" customHeight="1" x14ac:dyDescent="0.25">
      <c r="B208" s="25"/>
    </row>
    <row r="209" spans="2:2" ht="15.75" customHeight="1" x14ac:dyDescent="0.25">
      <c r="B209" s="25"/>
    </row>
    <row r="210" spans="2:2" ht="15.75" customHeight="1" x14ac:dyDescent="0.25">
      <c r="B210" s="25"/>
    </row>
    <row r="211" spans="2:2" ht="15.75" customHeight="1" x14ac:dyDescent="0.25">
      <c r="B211" s="25"/>
    </row>
    <row r="212" spans="2:2" ht="15.75" customHeight="1" x14ac:dyDescent="0.25">
      <c r="B212" s="25"/>
    </row>
    <row r="213" spans="2:2" ht="15.75" customHeight="1" x14ac:dyDescent="0.25">
      <c r="B213" s="25"/>
    </row>
    <row r="214" spans="2:2" ht="15.75" customHeight="1" x14ac:dyDescent="0.25">
      <c r="B214" s="25"/>
    </row>
    <row r="215" spans="2:2" ht="15.75" customHeight="1" x14ac:dyDescent="0.25">
      <c r="B215" s="25"/>
    </row>
    <row r="216" spans="2:2" ht="15.75" customHeight="1" x14ac:dyDescent="0.25">
      <c r="B216" s="25"/>
    </row>
    <row r="217" spans="2:2" ht="15.75" customHeight="1" x14ac:dyDescent="0.25">
      <c r="B217" s="25"/>
    </row>
    <row r="218" spans="2:2" ht="15.75" customHeight="1" x14ac:dyDescent="0.25">
      <c r="B218" s="25"/>
    </row>
    <row r="219" spans="2:2" ht="15.75" customHeight="1" x14ac:dyDescent="0.25">
      <c r="B219" s="25"/>
    </row>
    <row r="220" spans="2:2" ht="15.75" customHeight="1" x14ac:dyDescent="0.25">
      <c r="B220" s="25"/>
    </row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B6"/>
  </mergeCells>
  <dataValidations count="1">
    <dataValidation type="decimal" operator="greaterThanOrEqual" allowBlank="1" showDropDown="1" showInputMessage="1" prompt="test" sqref="B12" xr:uid="{00000000-0002-0000-0300-000000000000}">
      <formula1>0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showGridLines="0" workbookViewId="0"/>
  </sheetViews>
  <sheetFormatPr defaultColWidth="11.25" defaultRowHeight="15" customHeight="1" x14ac:dyDescent="0.25"/>
  <cols>
    <col min="1" max="1" width="35.375" customWidth="1"/>
    <col min="2" max="2" width="19.625" customWidth="1"/>
    <col min="3" max="6" width="10.625" customWidth="1"/>
    <col min="7" max="26" width="11.125" customWidth="1"/>
  </cols>
  <sheetData>
    <row r="1" spans="1:26" ht="15" customHeight="1" x14ac:dyDescent="0.25">
      <c r="A1" s="78" t="s">
        <v>41</v>
      </c>
      <c r="B1" s="79"/>
    </row>
    <row r="2" spans="1:26" ht="15" customHeight="1" x14ac:dyDescent="0.25">
      <c r="A2" s="80"/>
      <c r="B2" s="81"/>
    </row>
    <row r="3" spans="1:26" ht="15" customHeight="1" x14ac:dyDescent="0.25">
      <c r="A3" s="80"/>
      <c r="B3" s="81"/>
    </row>
    <row r="4" spans="1:26" ht="15" customHeight="1" x14ac:dyDescent="0.25">
      <c r="A4" s="80"/>
      <c r="B4" s="81"/>
    </row>
    <row r="5" spans="1:26" ht="15.75" customHeight="1" x14ac:dyDescent="0.25">
      <c r="A5" s="80"/>
      <c r="B5" s="81"/>
    </row>
    <row r="6" spans="1:26" ht="15.75" customHeight="1" x14ac:dyDescent="0.25">
      <c r="A6" s="80"/>
      <c r="B6" s="81"/>
    </row>
    <row r="7" spans="1:26" ht="15.75" customHeight="1" x14ac:dyDescent="0.25">
      <c r="A7" s="86" t="s">
        <v>43</v>
      </c>
      <c r="B7" s="77"/>
    </row>
    <row r="8" spans="1:26" ht="15.75" customHeight="1" x14ac:dyDescent="0.25">
      <c r="A8" s="15" t="s">
        <v>24</v>
      </c>
      <c r="B8" s="21">
        <f>'Property Details'!B8</f>
        <v>200000</v>
      </c>
    </row>
    <row r="9" spans="1:26" ht="15.75" customHeight="1" x14ac:dyDescent="0.25">
      <c r="A9" s="15" t="s">
        <v>47</v>
      </c>
      <c r="B9" s="22">
        <v>0.8</v>
      </c>
      <c r="F9" s="26"/>
    </row>
    <row r="10" spans="1:26" ht="15.75" customHeight="1" x14ac:dyDescent="0.25">
      <c r="A10" s="15" t="s">
        <v>36</v>
      </c>
      <c r="B10" s="21">
        <f>SUM(B8*B9)</f>
        <v>160000</v>
      </c>
    </row>
    <row r="11" spans="1:26" ht="15.75" customHeight="1" x14ac:dyDescent="0.25">
      <c r="A11" s="15" t="s">
        <v>23</v>
      </c>
      <c r="B11" s="17">
        <v>3500</v>
      </c>
    </row>
    <row r="12" spans="1:26" ht="15.75" customHeight="1" x14ac:dyDescent="0.25">
      <c r="A12" s="15" t="s">
        <v>52</v>
      </c>
      <c r="B12" s="29">
        <v>30</v>
      </c>
    </row>
    <row r="13" spans="1:26" ht="15.75" customHeight="1" x14ac:dyDescent="0.25">
      <c r="A13" s="15" t="s">
        <v>55</v>
      </c>
      <c r="B13" s="28">
        <v>0.06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6"/>
      <c r="B14" s="31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86" t="s">
        <v>61</v>
      </c>
      <c r="B15" s="7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15" t="s">
        <v>62</v>
      </c>
      <c r="B16" s="18">
        <f>PMT(B13/12,B12*12,B10)</f>
        <v>-959.28084024440363</v>
      </c>
    </row>
    <row r="17" spans="1:2" ht="15.75" customHeight="1" x14ac:dyDescent="0.25">
      <c r="A17" s="15" t="s">
        <v>64</v>
      </c>
      <c r="B17" s="21">
        <f>SUM('Property Details'!B6+'Property Details'!B7+'Property Details'!B11+'Property Details'!B12-'Refinance Calculations'!B10+'Refinance Calculations'!B11)</f>
        <v>43500</v>
      </c>
    </row>
    <row r="18" spans="1:2" ht="15.75" customHeight="1" x14ac:dyDescent="0.25">
      <c r="A18" s="15" t="s">
        <v>67</v>
      </c>
      <c r="B18" s="18">
        <f>'Income and Expenses'!B26</f>
        <v>3460.8741666666647</v>
      </c>
    </row>
    <row r="19" spans="1:2" ht="15.75" customHeight="1" x14ac:dyDescent="0.25">
      <c r="A19" s="15" t="s">
        <v>68</v>
      </c>
      <c r="B19" s="18">
        <f>'Income and Expenses'!B31+'Income and Expenses'!B32+'Income and Expenses'!B34+'Income and Expenses'!B33+'Income and Expenses'!B36+'Income and Expenses'!B37+'Refinance Calculations'!B16</f>
        <v>-2748.4475069110686</v>
      </c>
    </row>
    <row r="20" spans="1:2" ht="15.75" customHeight="1" x14ac:dyDescent="0.25">
      <c r="A20" s="15" t="s">
        <v>69</v>
      </c>
      <c r="B20" s="18">
        <f>SUM(B18+B19)</f>
        <v>712.42665975559612</v>
      </c>
    </row>
    <row r="21" spans="1:2" ht="15.75" customHeight="1" x14ac:dyDescent="0.25">
      <c r="A21" s="15" t="s">
        <v>71</v>
      </c>
      <c r="B21" s="18">
        <f>SUM(B20*12)</f>
        <v>8549.1199170671534</v>
      </c>
    </row>
    <row r="22" spans="1:2" ht="15.75" customHeight="1" x14ac:dyDescent="0.25">
      <c r="A22" s="15" t="s">
        <v>40</v>
      </c>
      <c r="B22" s="24">
        <f>SUM(B21/B17)</f>
        <v>0.19653149234637135</v>
      </c>
    </row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B6"/>
    <mergeCell ref="A7:B7"/>
    <mergeCell ref="A15:B15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pageSetUpPr fitToPage="1"/>
  </sheetPr>
  <dimension ref="A1:Z1000"/>
  <sheetViews>
    <sheetView workbookViewId="0"/>
  </sheetViews>
  <sheetFormatPr defaultColWidth="11.25" defaultRowHeight="15" customHeight="1" x14ac:dyDescent="0.25"/>
  <cols>
    <col min="1" max="1" width="26.625" customWidth="1"/>
    <col min="2" max="2" width="9.5" customWidth="1"/>
    <col min="3" max="3" width="9.125" customWidth="1"/>
    <col min="4" max="4" width="8" customWidth="1"/>
    <col min="5" max="5" width="24.125" customWidth="1"/>
    <col min="6" max="6" width="6.375" customWidth="1"/>
    <col min="7" max="7" width="9.5" customWidth="1"/>
    <col min="8" max="8" width="4.125" customWidth="1"/>
    <col min="9" max="9" width="4.5" customWidth="1"/>
    <col min="10" max="25" width="6.375" customWidth="1"/>
    <col min="26" max="26" width="10.375" customWidth="1"/>
  </cols>
  <sheetData>
    <row r="1" spans="1:26" ht="42.75" customHeight="1" x14ac:dyDescent="0.25">
      <c r="A1" s="37"/>
      <c r="B1" s="108" t="s">
        <v>89</v>
      </c>
      <c r="C1" s="84"/>
      <c r="D1" s="84"/>
      <c r="E1" s="84"/>
      <c r="F1" s="84"/>
      <c r="G1" s="10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9"/>
    </row>
    <row r="2" spans="1:26" ht="12.75" customHeight="1" x14ac:dyDescent="0.25">
      <c r="A2" s="110"/>
      <c r="B2" s="106"/>
      <c r="C2" s="106"/>
      <c r="D2" s="106"/>
      <c r="E2" s="106"/>
      <c r="F2" s="106"/>
      <c r="G2" s="77"/>
      <c r="H2" s="40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2.75" customHeight="1" x14ac:dyDescent="0.25">
      <c r="A3" s="41" t="s">
        <v>90</v>
      </c>
      <c r="B3" s="42"/>
      <c r="C3" s="43" t="s">
        <v>91</v>
      </c>
      <c r="D3" s="42"/>
      <c r="E3" s="44" t="s">
        <v>92</v>
      </c>
      <c r="F3" s="111"/>
      <c r="G3" s="112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9"/>
    </row>
    <row r="4" spans="1:26" ht="12.75" customHeight="1" x14ac:dyDescent="0.25">
      <c r="A4" s="113"/>
      <c r="B4" s="106"/>
      <c r="C4" s="106"/>
      <c r="D4" s="106"/>
      <c r="E4" s="106"/>
      <c r="F4" s="106"/>
      <c r="G4" s="77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/>
    </row>
    <row r="5" spans="1:26" ht="12.75" customHeight="1" x14ac:dyDescent="0.25">
      <c r="A5" s="45" t="s">
        <v>93</v>
      </c>
      <c r="B5" s="98"/>
      <c r="C5" s="114"/>
      <c r="D5" s="99"/>
      <c r="E5" s="46" t="s">
        <v>94</v>
      </c>
      <c r="F5" s="98"/>
      <c r="G5" s="99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</row>
    <row r="6" spans="1:26" ht="12.75" customHeight="1" x14ac:dyDescent="0.25">
      <c r="A6" s="105"/>
      <c r="B6" s="106"/>
      <c r="C6" s="106"/>
      <c r="D6" s="106"/>
      <c r="E6" s="106"/>
      <c r="F6" s="106"/>
      <c r="G6" s="77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9"/>
    </row>
    <row r="7" spans="1:26" ht="12.75" customHeight="1" x14ac:dyDescent="0.25">
      <c r="A7" s="47" t="s">
        <v>95</v>
      </c>
      <c r="B7" s="48"/>
      <c r="C7" s="49" t="s">
        <v>96</v>
      </c>
      <c r="D7" s="48"/>
      <c r="E7" s="50" t="s">
        <v>97</v>
      </c>
      <c r="F7" s="98"/>
      <c r="G7" s="99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9"/>
    </row>
    <row r="8" spans="1:26" ht="12.75" customHeight="1" x14ac:dyDescent="0.25">
      <c r="A8" s="47" t="s">
        <v>98</v>
      </c>
      <c r="B8" s="48"/>
      <c r="C8" s="49" t="s">
        <v>99</v>
      </c>
      <c r="D8" s="48"/>
      <c r="E8" s="49" t="s">
        <v>100</v>
      </c>
      <c r="F8" s="98"/>
      <c r="G8" s="99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9"/>
    </row>
    <row r="9" spans="1:26" ht="12.75" customHeight="1" x14ac:dyDescent="0.25">
      <c r="A9" s="100"/>
      <c r="B9" s="81"/>
      <c r="C9" s="81"/>
      <c r="D9" s="81"/>
      <c r="E9" s="81"/>
      <c r="F9" s="81"/>
      <c r="G9" s="81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2.75" customHeight="1" x14ac:dyDescent="0.25">
      <c r="A10" s="51" t="s">
        <v>101</v>
      </c>
      <c r="B10" s="52" t="s">
        <v>102</v>
      </c>
      <c r="C10" s="53" t="s">
        <v>103</v>
      </c>
      <c r="D10" s="52" t="s">
        <v>104</v>
      </c>
      <c r="E10" s="54" t="s">
        <v>105</v>
      </c>
      <c r="F10" s="55" t="s">
        <v>106</v>
      </c>
      <c r="G10" s="56" t="s">
        <v>107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21" customHeight="1" x14ac:dyDescent="0.25">
      <c r="A11" s="101" t="s">
        <v>108</v>
      </c>
      <c r="B11" s="81"/>
      <c r="C11" s="81"/>
      <c r="D11" s="81"/>
      <c r="E11" s="81"/>
      <c r="F11" s="81"/>
      <c r="G11" s="81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21" customHeight="1" x14ac:dyDescent="0.25">
      <c r="A12" s="57" t="s">
        <v>109</v>
      </c>
      <c r="B12" s="40"/>
      <c r="C12" s="40"/>
      <c r="D12" s="40"/>
      <c r="E12" s="58"/>
      <c r="F12" s="59"/>
      <c r="G12" s="5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21" customHeight="1" x14ac:dyDescent="0.25">
      <c r="A13" s="60" t="s">
        <v>110</v>
      </c>
      <c r="B13" s="61"/>
      <c r="C13" s="61"/>
      <c r="D13" s="61"/>
      <c r="E13" s="62" t="s">
        <v>111</v>
      </c>
      <c r="F13" s="63"/>
      <c r="G13" s="63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21" customHeight="1" x14ac:dyDescent="0.25">
      <c r="A14" s="60" t="s">
        <v>112</v>
      </c>
      <c r="B14" s="61"/>
      <c r="C14" s="61"/>
      <c r="D14" s="61"/>
      <c r="E14" s="62" t="s">
        <v>113</v>
      </c>
      <c r="F14" s="63"/>
      <c r="G14" s="63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21" customHeight="1" x14ac:dyDescent="0.25">
      <c r="A15" s="60" t="s">
        <v>114</v>
      </c>
      <c r="B15" s="61"/>
      <c r="C15" s="61"/>
      <c r="D15" s="61"/>
      <c r="E15" s="64" t="s">
        <v>115</v>
      </c>
      <c r="F15" s="63"/>
      <c r="G15" s="63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21" customHeight="1" x14ac:dyDescent="0.25">
      <c r="A16" s="65" t="s">
        <v>116</v>
      </c>
      <c r="B16" s="61"/>
      <c r="C16" s="61"/>
      <c r="D16" s="61"/>
      <c r="E16" s="62" t="s">
        <v>117</v>
      </c>
      <c r="F16" s="63"/>
      <c r="G16" s="63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1" customHeight="1" x14ac:dyDescent="0.25">
      <c r="A17" s="60" t="s">
        <v>118</v>
      </c>
      <c r="B17" s="61"/>
      <c r="C17" s="61"/>
      <c r="D17" s="61"/>
      <c r="E17" s="62" t="s">
        <v>119</v>
      </c>
      <c r="F17" s="63"/>
      <c r="G17" s="63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21" customHeight="1" x14ac:dyDescent="0.25">
      <c r="A18" s="65" t="s">
        <v>120</v>
      </c>
      <c r="B18" s="61"/>
      <c r="C18" s="61"/>
      <c r="D18" s="61"/>
      <c r="E18" s="62" t="s">
        <v>121</v>
      </c>
      <c r="F18" s="63"/>
      <c r="G18" s="63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21" customHeight="1" x14ac:dyDescent="0.25">
      <c r="A19" s="65" t="s">
        <v>122</v>
      </c>
      <c r="B19" s="61"/>
      <c r="C19" s="61"/>
      <c r="D19" s="61"/>
      <c r="E19" s="62" t="s">
        <v>123</v>
      </c>
      <c r="F19" s="63"/>
      <c r="G19" s="63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21" customHeight="1" x14ac:dyDescent="0.25">
      <c r="A20" s="65" t="s">
        <v>124</v>
      </c>
      <c r="B20" s="61"/>
      <c r="C20" s="61"/>
      <c r="D20" s="61"/>
      <c r="E20" s="64" t="s">
        <v>125</v>
      </c>
      <c r="F20" s="65"/>
      <c r="G20" s="63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21" customHeight="1" x14ac:dyDescent="0.25">
      <c r="A21" s="65" t="s">
        <v>126</v>
      </c>
      <c r="B21" s="61"/>
      <c r="C21" s="61"/>
      <c r="D21" s="61"/>
      <c r="E21" s="64" t="s">
        <v>127</v>
      </c>
      <c r="F21" s="65"/>
      <c r="G21" s="63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21" customHeight="1" x14ac:dyDescent="0.25">
      <c r="A22" s="66" t="s">
        <v>128</v>
      </c>
      <c r="B22" s="40"/>
      <c r="C22" s="40"/>
      <c r="D22" s="40"/>
      <c r="E22" s="39"/>
      <c r="F22" s="39"/>
      <c r="G22" s="5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21" customHeight="1" x14ac:dyDescent="0.25">
      <c r="A23" s="65" t="s">
        <v>129</v>
      </c>
      <c r="B23" s="61"/>
      <c r="C23" s="61"/>
      <c r="D23" s="61"/>
      <c r="E23" s="64" t="s">
        <v>130</v>
      </c>
      <c r="F23" s="65"/>
      <c r="G23" s="63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21" customHeight="1" x14ac:dyDescent="0.25">
      <c r="A24" s="65" t="s">
        <v>131</v>
      </c>
      <c r="B24" s="61"/>
      <c r="C24" s="61"/>
      <c r="D24" s="61"/>
      <c r="E24" s="64" t="s">
        <v>132</v>
      </c>
      <c r="F24" s="65"/>
      <c r="G24" s="63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21" customHeight="1" x14ac:dyDescent="0.25">
      <c r="A25" s="65" t="s">
        <v>124</v>
      </c>
      <c r="B25" s="61"/>
      <c r="C25" s="61"/>
      <c r="D25" s="61"/>
      <c r="E25" s="64" t="s">
        <v>133</v>
      </c>
      <c r="F25" s="65"/>
      <c r="G25" s="63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21" customHeight="1" x14ac:dyDescent="0.25">
      <c r="A26" s="65" t="s">
        <v>134</v>
      </c>
      <c r="B26" s="61"/>
      <c r="C26" s="61"/>
      <c r="D26" s="61"/>
      <c r="E26" s="64" t="s">
        <v>135</v>
      </c>
      <c r="F26" s="65"/>
      <c r="G26" s="63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21" customHeight="1" x14ac:dyDescent="0.25">
      <c r="A27" s="65" t="s">
        <v>136</v>
      </c>
      <c r="B27" s="61"/>
      <c r="C27" s="61"/>
      <c r="D27" s="61"/>
      <c r="E27" s="64" t="s">
        <v>137</v>
      </c>
      <c r="F27" s="65"/>
      <c r="G27" s="63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21" customHeight="1" x14ac:dyDescent="0.25">
      <c r="A28" s="65" t="s">
        <v>138</v>
      </c>
      <c r="B28" s="61"/>
      <c r="C28" s="61"/>
      <c r="D28" s="61"/>
      <c r="E28" s="62" t="s">
        <v>139</v>
      </c>
      <c r="F28" s="63"/>
      <c r="G28" s="63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21" customHeight="1" x14ac:dyDescent="0.25">
      <c r="A29" s="65" t="s">
        <v>140</v>
      </c>
      <c r="B29" s="61"/>
      <c r="C29" s="61"/>
      <c r="D29" s="61"/>
      <c r="E29" s="64" t="s">
        <v>141</v>
      </c>
      <c r="F29" s="65"/>
      <c r="G29" s="63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21" customHeight="1" x14ac:dyDescent="0.25">
      <c r="A30" s="60" t="s">
        <v>142</v>
      </c>
      <c r="B30" s="61"/>
      <c r="C30" s="61"/>
      <c r="D30" s="61"/>
      <c r="E30" s="60" t="s">
        <v>143</v>
      </c>
      <c r="F30" s="65"/>
      <c r="G30" s="63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21" customHeight="1" x14ac:dyDescent="0.3">
      <c r="A31" s="102" t="s">
        <v>144</v>
      </c>
      <c r="B31" s="81"/>
      <c r="C31" s="81"/>
      <c r="D31" s="81"/>
      <c r="E31" s="81"/>
      <c r="F31" s="81"/>
      <c r="G31" s="81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21" customHeight="1" x14ac:dyDescent="0.25">
      <c r="A32" s="66" t="s">
        <v>109</v>
      </c>
      <c r="B32" s="40"/>
      <c r="C32" s="40"/>
      <c r="D32" s="40"/>
      <c r="E32" s="39"/>
      <c r="F32" s="39"/>
      <c r="G32" s="5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21" customHeight="1" x14ac:dyDescent="0.25">
      <c r="A33" s="65" t="s">
        <v>145</v>
      </c>
      <c r="B33" s="61"/>
      <c r="C33" s="61"/>
      <c r="D33" s="61"/>
      <c r="E33" s="64" t="s">
        <v>146</v>
      </c>
      <c r="F33" s="65"/>
      <c r="G33" s="63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21" customHeight="1" x14ac:dyDescent="0.25">
      <c r="A34" s="65" t="s">
        <v>147</v>
      </c>
      <c r="B34" s="61"/>
      <c r="C34" s="61"/>
      <c r="D34" s="61"/>
      <c r="E34" s="62" t="s">
        <v>148</v>
      </c>
      <c r="F34" s="63"/>
      <c r="G34" s="63"/>
      <c r="H34" s="39"/>
      <c r="I34" s="39"/>
      <c r="J34" s="39"/>
      <c r="K34" s="39"/>
      <c r="L34" s="39"/>
      <c r="M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21" customHeight="1" x14ac:dyDescent="0.25">
      <c r="A35" s="65" t="s">
        <v>149</v>
      </c>
      <c r="B35" s="61"/>
      <c r="C35" s="61"/>
      <c r="D35" s="61"/>
      <c r="E35" s="64" t="s">
        <v>150</v>
      </c>
      <c r="F35" s="65"/>
      <c r="G35" s="63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21" customHeight="1" x14ac:dyDescent="0.25">
      <c r="A36" s="65" t="s">
        <v>151</v>
      </c>
      <c r="B36" s="61"/>
      <c r="C36" s="61"/>
      <c r="D36" s="61"/>
      <c r="E36" s="67" t="s">
        <v>152</v>
      </c>
      <c r="F36" s="65"/>
      <c r="G36" s="63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21" customHeight="1" x14ac:dyDescent="0.25">
      <c r="A37" s="65" t="s">
        <v>153</v>
      </c>
      <c r="B37" s="61"/>
      <c r="C37" s="61"/>
      <c r="D37" s="61"/>
      <c r="E37" s="64" t="s">
        <v>154</v>
      </c>
      <c r="F37" s="65"/>
      <c r="G37" s="63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21" customHeight="1" x14ac:dyDescent="0.25">
      <c r="A38" s="65" t="s">
        <v>155</v>
      </c>
      <c r="B38" s="61"/>
      <c r="C38" s="61"/>
      <c r="D38" s="61"/>
      <c r="E38" s="64" t="s">
        <v>156</v>
      </c>
      <c r="F38" s="65"/>
      <c r="G38" s="63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21" customHeight="1" x14ac:dyDescent="0.25">
      <c r="A39" s="65" t="s">
        <v>157</v>
      </c>
      <c r="B39" s="61"/>
      <c r="C39" s="61"/>
      <c r="D39" s="61"/>
      <c r="E39" s="64" t="s">
        <v>158</v>
      </c>
      <c r="F39" s="65"/>
      <c r="G39" s="63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21" customHeight="1" x14ac:dyDescent="0.25">
      <c r="A40" s="65" t="s">
        <v>159</v>
      </c>
      <c r="B40" s="61"/>
      <c r="C40" s="61"/>
      <c r="D40" s="61"/>
      <c r="E40" s="62" t="s">
        <v>160</v>
      </c>
      <c r="F40" s="63"/>
      <c r="G40" s="63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21" customHeight="1" x14ac:dyDescent="0.25">
      <c r="A41" s="66" t="s">
        <v>161</v>
      </c>
      <c r="B41" s="39"/>
      <c r="C41" s="39"/>
      <c r="D41" s="39"/>
      <c r="E41" s="39"/>
      <c r="F41" s="39"/>
      <c r="G41" s="5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21" customHeight="1" x14ac:dyDescent="0.25">
      <c r="A42" s="65" t="s">
        <v>162</v>
      </c>
      <c r="B42" s="61"/>
      <c r="C42" s="61"/>
      <c r="D42" s="61"/>
      <c r="E42" s="62" t="s">
        <v>163</v>
      </c>
      <c r="F42" s="65"/>
      <c r="G42" s="63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21" customHeight="1" x14ac:dyDescent="0.25">
      <c r="A43" s="60" t="s">
        <v>164</v>
      </c>
      <c r="B43" s="61"/>
      <c r="C43" s="61"/>
      <c r="D43" s="61"/>
      <c r="E43" s="68" t="s">
        <v>165</v>
      </c>
      <c r="F43" s="65"/>
      <c r="G43" s="63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21" customHeight="1" x14ac:dyDescent="0.25">
      <c r="A44" s="65" t="s">
        <v>166</v>
      </c>
      <c r="B44" s="61"/>
      <c r="C44" s="61"/>
      <c r="D44" s="61"/>
      <c r="E44" s="62" t="s">
        <v>167</v>
      </c>
      <c r="F44" s="65"/>
      <c r="G44" s="63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1" customHeight="1" x14ac:dyDescent="0.25">
      <c r="A45" s="60" t="s">
        <v>168</v>
      </c>
      <c r="B45" s="61"/>
      <c r="C45" s="61"/>
      <c r="D45" s="61"/>
      <c r="E45" s="62" t="s">
        <v>169</v>
      </c>
      <c r="F45" s="63"/>
      <c r="G45" s="63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21" customHeight="1" x14ac:dyDescent="0.25">
      <c r="A46" s="66" t="s">
        <v>170</v>
      </c>
      <c r="B46" s="39"/>
      <c r="C46" s="39"/>
      <c r="D46" s="39"/>
      <c r="E46" s="39"/>
      <c r="F46" s="39"/>
      <c r="G46" s="5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21" customHeight="1" x14ac:dyDescent="0.25">
      <c r="A47" s="103" t="s">
        <v>171</v>
      </c>
      <c r="B47" s="69"/>
      <c r="C47" s="70"/>
      <c r="D47" s="70"/>
      <c r="E47" s="64" t="s">
        <v>172</v>
      </c>
      <c r="F47" s="65"/>
      <c r="G47" s="63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21" customHeight="1" x14ac:dyDescent="0.25">
      <c r="A48" s="89"/>
      <c r="B48" s="70"/>
      <c r="C48" s="70"/>
      <c r="D48" s="70"/>
      <c r="E48" s="64" t="s">
        <v>173</v>
      </c>
      <c r="F48" s="65"/>
      <c r="G48" s="63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21" customHeight="1" x14ac:dyDescent="0.25">
      <c r="A49" s="65" t="s">
        <v>174</v>
      </c>
      <c r="B49" s="70"/>
      <c r="C49" s="70"/>
      <c r="D49" s="70"/>
      <c r="E49" s="62" t="s">
        <v>175</v>
      </c>
      <c r="F49" s="63"/>
      <c r="G49" s="63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21" customHeight="1" x14ac:dyDescent="0.25">
      <c r="A50" s="60" t="s">
        <v>176</v>
      </c>
      <c r="B50" s="70"/>
      <c r="C50" s="70"/>
      <c r="D50" s="70"/>
      <c r="E50" s="62" t="s">
        <v>177</v>
      </c>
      <c r="F50" s="63"/>
      <c r="G50" s="63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21" customHeight="1" x14ac:dyDescent="0.25">
      <c r="A51" s="66" t="s">
        <v>178</v>
      </c>
      <c r="B51" s="39"/>
      <c r="C51" s="39"/>
      <c r="D51" s="39"/>
      <c r="E51" s="39"/>
      <c r="F51" s="39"/>
      <c r="G51" s="5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21" customHeight="1" x14ac:dyDescent="0.25">
      <c r="A52" s="104" t="s">
        <v>179</v>
      </c>
      <c r="B52" s="61"/>
      <c r="C52" s="61"/>
      <c r="D52" s="61"/>
      <c r="E52" s="64" t="s">
        <v>180</v>
      </c>
      <c r="F52" s="65"/>
      <c r="G52" s="63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21" customHeight="1" x14ac:dyDescent="0.25">
      <c r="A53" s="88"/>
      <c r="B53" s="61"/>
      <c r="C53" s="61"/>
      <c r="D53" s="61"/>
      <c r="E53" s="64" t="s">
        <v>181</v>
      </c>
      <c r="F53" s="65"/>
      <c r="G53" s="63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21" customHeight="1" x14ac:dyDescent="0.25">
      <c r="A54" s="89"/>
      <c r="B54" s="61"/>
      <c r="C54" s="61"/>
      <c r="D54" s="61"/>
      <c r="E54" s="64" t="s">
        <v>182</v>
      </c>
      <c r="F54" s="65"/>
      <c r="G54" s="63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21" customHeight="1" x14ac:dyDescent="0.25">
      <c r="A55" s="65" t="s">
        <v>183</v>
      </c>
      <c r="B55" s="65"/>
      <c r="C55" s="65"/>
      <c r="D55" s="65"/>
      <c r="E55" s="62" t="s">
        <v>184</v>
      </c>
      <c r="F55" s="63"/>
      <c r="G55" s="63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21" customHeight="1" x14ac:dyDescent="0.25">
      <c r="A56" s="104" t="s">
        <v>185</v>
      </c>
      <c r="B56" s="107" t="s">
        <v>186</v>
      </c>
      <c r="C56" s="91"/>
      <c r="D56" s="91"/>
      <c r="E56" s="91"/>
      <c r="F56" s="91"/>
      <c r="G56" s="92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21" customHeight="1" x14ac:dyDescent="0.25">
      <c r="A57" s="89"/>
      <c r="B57" s="93"/>
      <c r="C57" s="94"/>
      <c r="D57" s="94"/>
      <c r="E57" s="94"/>
      <c r="F57" s="94"/>
      <c r="G57" s="95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21" customHeight="1" x14ac:dyDescent="0.25">
      <c r="A58" s="65" t="s">
        <v>187</v>
      </c>
      <c r="B58" s="70"/>
      <c r="C58" s="70"/>
      <c r="D58" s="70"/>
      <c r="E58" s="62" t="s">
        <v>188</v>
      </c>
      <c r="F58" s="63"/>
      <c r="G58" s="63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21" customHeight="1" x14ac:dyDescent="0.25">
      <c r="A59" s="104" t="s">
        <v>189</v>
      </c>
      <c r="B59" s="107" t="s">
        <v>186</v>
      </c>
      <c r="C59" s="91"/>
      <c r="D59" s="91"/>
      <c r="E59" s="91"/>
      <c r="F59" s="91"/>
      <c r="G59" s="92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21" customHeight="1" x14ac:dyDescent="0.25">
      <c r="A60" s="89"/>
      <c r="B60" s="93"/>
      <c r="C60" s="94"/>
      <c r="D60" s="94"/>
      <c r="E60" s="94"/>
      <c r="F60" s="94"/>
      <c r="G60" s="95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21" customHeight="1" x14ac:dyDescent="0.25">
      <c r="A61" s="66" t="s">
        <v>190</v>
      </c>
      <c r="B61" s="39"/>
      <c r="C61" s="39"/>
      <c r="D61" s="39"/>
      <c r="E61" s="39"/>
      <c r="F61" s="39"/>
      <c r="G61" s="5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21" customHeight="1" x14ac:dyDescent="0.25">
      <c r="A62" s="87" t="s">
        <v>191</v>
      </c>
      <c r="B62" s="69"/>
      <c r="C62" s="70"/>
      <c r="D62" s="70"/>
      <c r="E62" s="64" t="s">
        <v>192</v>
      </c>
      <c r="F62" s="65"/>
      <c r="G62" s="63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21" customHeight="1" x14ac:dyDescent="0.25">
      <c r="A63" s="88"/>
      <c r="B63" s="70"/>
      <c r="C63" s="70"/>
      <c r="D63" s="70"/>
      <c r="E63" s="64" t="s">
        <v>193</v>
      </c>
      <c r="F63" s="65"/>
      <c r="G63" s="63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21" customHeight="1" x14ac:dyDescent="0.25">
      <c r="A64" s="89"/>
      <c r="B64" s="70"/>
      <c r="C64" s="70"/>
      <c r="D64" s="70"/>
      <c r="E64" s="64" t="s">
        <v>194</v>
      </c>
      <c r="F64" s="65"/>
      <c r="G64" s="63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21" customHeight="1" x14ac:dyDescent="0.25">
      <c r="A65" s="66" t="s">
        <v>195</v>
      </c>
      <c r="B65" s="39"/>
      <c r="C65" s="39"/>
      <c r="D65" s="39"/>
      <c r="E65" s="39"/>
      <c r="F65" s="39"/>
      <c r="G65" s="5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21" customHeight="1" x14ac:dyDescent="0.25">
      <c r="A66" s="65" t="s">
        <v>196</v>
      </c>
      <c r="B66" s="61"/>
      <c r="C66" s="61"/>
      <c r="D66" s="61"/>
      <c r="E66" s="67" t="s">
        <v>197</v>
      </c>
      <c r="F66" s="65"/>
      <c r="G66" s="63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21" customHeight="1" x14ac:dyDescent="0.25">
      <c r="A67" s="65" t="s">
        <v>198</v>
      </c>
      <c r="B67" s="61"/>
      <c r="C67" s="61"/>
      <c r="D67" s="61"/>
      <c r="E67" s="67" t="s">
        <v>199</v>
      </c>
      <c r="F67" s="65"/>
      <c r="G67" s="71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21" customHeight="1" x14ac:dyDescent="0.25">
      <c r="A68" s="65" t="s">
        <v>200</v>
      </c>
      <c r="B68" s="61"/>
      <c r="C68" s="61"/>
      <c r="D68" s="61"/>
      <c r="E68" s="67" t="s">
        <v>201</v>
      </c>
      <c r="F68" s="65"/>
      <c r="G68" s="63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21" customHeight="1" x14ac:dyDescent="0.25">
      <c r="A69" s="72" t="s">
        <v>202</v>
      </c>
      <c r="B69" s="73"/>
      <c r="C69" s="73"/>
      <c r="D69" s="73"/>
      <c r="E69" s="67" t="s">
        <v>203</v>
      </c>
      <c r="F69" s="65"/>
      <c r="G69" s="63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21" customHeight="1" x14ac:dyDescent="0.25">
      <c r="A70" s="90" t="s">
        <v>204</v>
      </c>
      <c r="B70" s="91"/>
      <c r="C70" s="91"/>
      <c r="D70" s="92"/>
      <c r="E70" s="96" t="s">
        <v>205</v>
      </c>
      <c r="F70" s="92"/>
      <c r="G70" s="97">
        <f>SUM(G13,G14,G15,G16,G17,G18,G20,G21,G23,G24,G25,G26,G27,G29,G30,G33,G34,G35,G36,G37,G38,G39,G42,G43,G44,G45,G47,G48,G49,G50,G52,G53,G54,G55,G58,G62,G63,G64,G66,G67,G68,G69)</f>
        <v>0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21" customHeight="1" x14ac:dyDescent="0.25">
      <c r="A71" s="93"/>
      <c r="B71" s="94"/>
      <c r="C71" s="94"/>
      <c r="D71" s="95"/>
      <c r="E71" s="94"/>
      <c r="F71" s="95"/>
      <c r="G71" s="8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2.75" customHeight="1" x14ac:dyDescent="0.25">
      <c r="A72" s="39"/>
      <c r="B72" s="39"/>
      <c r="C72" s="39"/>
      <c r="D72" s="39"/>
      <c r="E72" s="39"/>
      <c r="F72" s="39"/>
      <c r="G72" s="5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2.75" customHeight="1" x14ac:dyDescent="0.25">
      <c r="A73" s="39"/>
      <c r="B73" s="39"/>
      <c r="C73" s="39"/>
      <c r="D73" s="39"/>
      <c r="E73" s="39"/>
      <c r="F73" s="39"/>
      <c r="G73" s="5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2.75" customHeight="1" x14ac:dyDescent="0.25">
      <c r="A74" s="39"/>
      <c r="B74" s="39"/>
      <c r="C74" s="39"/>
      <c r="D74" s="39"/>
      <c r="E74" s="39"/>
      <c r="F74" s="39"/>
      <c r="G74" s="5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2.75" customHeight="1" x14ac:dyDescent="0.25">
      <c r="A75" s="39"/>
      <c r="B75" s="39"/>
      <c r="C75" s="39"/>
      <c r="D75" s="39"/>
      <c r="E75" s="39"/>
      <c r="F75" s="39"/>
      <c r="G75" s="5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2.75" customHeight="1" x14ac:dyDescent="0.25">
      <c r="A76" s="39"/>
      <c r="B76" s="39"/>
      <c r="C76" s="39"/>
      <c r="D76" s="39"/>
      <c r="E76" s="39"/>
      <c r="F76" s="39"/>
      <c r="G76" s="5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2.75" customHeight="1" x14ac:dyDescent="0.25">
      <c r="A77" s="39"/>
      <c r="B77" s="39"/>
      <c r="C77" s="39"/>
      <c r="D77" s="39"/>
      <c r="E77" s="39"/>
      <c r="F77" s="39"/>
      <c r="G77" s="5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2.75" customHeight="1" x14ac:dyDescent="0.25">
      <c r="A78" s="39"/>
      <c r="B78" s="39"/>
      <c r="C78" s="39"/>
      <c r="D78" s="39"/>
      <c r="E78" s="39"/>
      <c r="F78" s="39"/>
      <c r="G78" s="5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2.75" customHeight="1" x14ac:dyDescent="0.25">
      <c r="A79" s="39"/>
      <c r="B79" s="39"/>
      <c r="C79" s="39"/>
      <c r="D79" s="39"/>
      <c r="E79" s="39"/>
      <c r="F79" s="39"/>
      <c r="G79" s="5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2.75" customHeight="1" x14ac:dyDescent="0.25">
      <c r="A80" s="39"/>
      <c r="B80" s="39"/>
      <c r="C80" s="39"/>
      <c r="D80" s="39"/>
      <c r="E80" s="39"/>
      <c r="F80" s="39"/>
      <c r="G80" s="5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2.75" customHeight="1" x14ac:dyDescent="0.25">
      <c r="A81" s="39"/>
      <c r="B81" s="39"/>
      <c r="C81" s="39"/>
      <c r="D81" s="39"/>
      <c r="E81" s="39"/>
      <c r="F81" s="39"/>
      <c r="G81" s="5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2.75" customHeight="1" x14ac:dyDescent="0.25">
      <c r="A82" s="39"/>
      <c r="B82" s="39"/>
      <c r="C82" s="39"/>
      <c r="D82" s="39"/>
      <c r="E82" s="39"/>
      <c r="F82" s="39"/>
      <c r="G82" s="5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2.75" customHeight="1" x14ac:dyDescent="0.25">
      <c r="A83" s="39"/>
      <c r="B83" s="39"/>
      <c r="C83" s="39"/>
      <c r="D83" s="39"/>
      <c r="E83" s="39"/>
      <c r="F83" s="39"/>
      <c r="G83" s="5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2.75" customHeight="1" x14ac:dyDescent="0.25">
      <c r="A84" s="39"/>
      <c r="B84" s="39"/>
      <c r="C84" s="39"/>
      <c r="D84" s="39"/>
      <c r="E84" s="39"/>
      <c r="F84" s="39"/>
      <c r="G84" s="5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2.75" customHeight="1" x14ac:dyDescent="0.25">
      <c r="A85" s="39"/>
      <c r="B85" s="39"/>
      <c r="C85" s="39"/>
      <c r="D85" s="39"/>
      <c r="E85" s="39"/>
      <c r="F85" s="39"/>
      <c r="G85" s="5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2.75" customHeight="1" x14ac:dyDescent="0.25">
      <c r="A86" s="39"/>
      <c r="B86" s="39"/>
      <c r="C86" s="39"/>
      <c r="D86" s="39"/>
      <c r="E86" s="39"/>
      <c r="F86" s="39"/>
      <c r="G86" s="5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2.75" customHeight="1" x14ac:dyDescent="0.25">
      <c r="A87" s="39"/>
      <c r="B87" s="39"/>
      <c r="C87" s="39"/>
      <c r="D87" s="39"/>
      <c r="E87" s="39"/>
      <c r="F87" s="39"/>
      <c r="G87" s="5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2.75" customHeight="1" x14ac:dyDescent="0.25">
      <c r="A88" s="39"/>
      <c r="B88" s="39"/>
      <c r="C88" s="39"/>
      <c r="D88" s="39"/>
      <c r="E88" s="39"/>
      <c r="F88" s="39"/>
      <c r="G88" s="5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2.75" customHeight="1" x14ac:dyDescent="0.25">
      <c r="A89" s="39"/>
      <c r="B89" s="39"/>
      <c r="C89" s="39"/>
      <c r="D89" s="39"/>
      <c r="E89" s="39"/>
      <c r="F89" s="39"/>
      <c r="G89" s="5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2.75" customHeight="1" x14ac:dyDescent="0.25">
      <c r="A90" s="39"/>
      <c r="B90" s="39"/>
      <c r="C90" s="39"/>
      <c r="D90" s="39"/>
      <c r="E90" s="39"/>
      <c r="F90" s="39"/>
      <c r="G90" s="5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2.75" customHeight="1" x14ac:dyDescent="0.25">
      <c r="A91" s="39"/>
      <c r="B91" s="39"/>
      <c r="C91" s="39"/>
      <c r="D91" s="39"/>
      <c r="E91" s="39"/>
      <c r="F91" s="39"/>
      <c r="G91" s="5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2.75" customHeight="1" x14ac:dyDescent="0.25">
      <c r="A92" s="39"/>
      <c r="B92" s="39"/>
      <c r="C92" s="39"/>
      <c r="D92" s="39"/>
      <c r="E92" s="39"/>
      <c r="F92" s="39"/>
      <c r="G92" s="5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2.75" customHeight="1" x14ac:dyDescent="0.25">
      <c r="A93" s="39"/>
      <c r="B93" s="39"/>
      <c r="C93" s="39"/>
      <c r="D93" s="39"/>
      <c r="E93" s="39"/>
      <c r="F93" s="39"/>
      <c r="G93" s="5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2.75" customHeight="1" x14ac:dyDescent="0.25">
      <c r="A94" s="39"/>
      <c r="B94" s="39"/>
      <c r="C94" s="39"/>
      <c r="D94" s="39"/>
      <c r="E94" s="39"/>
      <c r="F94" s="39"/>
      <c r="G94" s="5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2.75" customHeight="1" x14ac:dyDescent="0.25">
      <c r="A95" s="39"/>
      <c r="B95" s="39"/>
      <c r="C95" s="39"/>
      <c r="D95" s="39"/>
      <c r="E95" s="39"/>
      <c r="F95" s="39"/>
      <c r="G95" s="5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2.75" customHeight="1" x14ac:dyDescent="0.25">
      <c r="A96" s="39"/>
      <c r="B96" s="39"/>
      <c r="C96" s="39"/>
      <c r="D96" s="39"/>
      <c r="E96" s="39"/>
      <c r="F96" s="39"/>
      <c r="G96" s="5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2.75" customHeight="1" x14ac:dyDescent="0.25">
      <c r="A97" s="39"/>
      <c r="B97" s="39"/>
      <c r="C97" s="39"/>
      <c r="D97" s="39"/>
      <c r="E97" s="39"/>
      <c r="F97" s="39"/>
      <c r="G97" s="5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2.75" customHeight="1" x14ac:dyDescent="0.25">
      <c r="A98" s="39"/>
      <c r="B98" s="39"/>
      <c r="C98" s="39"/>
      <c r="D98" s="39"/>
      <c r="E98" s="39"/>
      <c r="F98" s="39"/>
      <c r="G98" s="5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2.75" customHeight="1" x14ac:dyDescent="0.25">
      <c r="A99" s="39"/>
      <c r="B99" s="39"/>
      <c r="C99" s="39"/>
      <c r="D99" s="39"/>
      <c r="E99" s="39"/>
      <c r="F99" s="39"/>
      <c r="G99" s="5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2.75" customHeight="1" x14ac:dyDescent="0.25">
      <c r="A100" s="39"/>
      <c r="B100" s="39"/>
      <c r="C100" s="39"/>
      <c r="D100" s="39"/>
      <c r="E100" s="39"/>
      <c r="F100" s="39"/>
      <c r="G100" s="5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2.75" customHeight="1" x14ac:dyDescent="0.25">
      <c r="A101" s="39"/>
      <c r="B101" s="39"/>
      <c r="C101" s="39"/>
      <c r="D101" s="39"/>
      <c r="E101" s="39"/>
      <c r="F101" s="39"/>
      <c r="G101" s="5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2.75" customHeight="1" x14ac:dyDescent="0.25">
      <c r="A102" s="39"/>
      <c r="B102" s="39"/>
      <c r="C102" s="39"/>
      <c r="D102" s="39"/>
      <c r="E102" s="39"/>
      <c r="F102" s="39"/>
      <c r="G102" s="5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2.75" customHeight="1" x14ac:dyDescent="0.25">
      <c r="A103" s="39"/>
      <c r="B103" s="39"/>
      <c r="C103" s="39"/>
      <c r="D103" s="39"/>
      <c r="E103" s="39"/>
      <c r="F103" s="39"/>
      <c r="G103" s="5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2.75" customHeight="1" x14ac:dyDescent="0.25">
      <c r="A104" s="39"/>
      <c r="B104" s="39"/>
      <c r="C104" s="39"/>
      <c r="D104" s="39"/>
      <c r="E104" s="39"/>
      <c r="F104" s="39"/>
      <c r="G104" s="5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2.75" customHeight="1" x14ac:dyDescent="0.25">
      <c r="A105" s="39"/>
      <c r="B105" s="39"/>
      <c r="C105" s="39"/>
      <c r="D105" s="39"/>
      <c r="E105" s="39"/>
      <c r="F105" s="39"/>
      <c r="G105" s="5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2.75" customHeight="1" x14ac:dyDescent="0.25">
      <c r="A106" s="39"/>
      <c r="B106" s="39"/>
      <c r="C106" s="39"/>
      <c r="D106" s="39"/>
      <c r="E106" s="39"/>
      <c r="F106" s="39"/>
      <c r="G106" s="5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2.75" customHeight="1" x14ac:dyDescent="0.25">
      <c r="A107" s="39"/>
      <c r="B107" s="39"/>
      <c r="C107" s="39"/>
      <c r="D107" s="39"/>
      <c r="E107" s="39"/>
      <c r="F107" s="39"/>
      <c r="G107" s="5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2.75" customHeight="1" x14ac:dyDescent="0.25">
      <c r="A108" s="39"/>
      <c r="B108" s="39"/>
      <c r="C108" s="39"/>
      <c r="D108" s="39"/>
      <c r="E108" s="39"/>
      <c r="F108" s="39"/>
      <c r="G108" s="5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2.75" customHeight="1" x14ac:dyDescent="0.25">
      <c r="A109" s="39"/>
      <c r="B109" s="39"/>
      <c r="C109" s="39"/>
      <c r="D109" s="39"/>
      <c r="E109" s="39"/>
      <c r="F109" s="39"/>
      <c r="G109" s="5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2.75" customHeight="1" x14ac:dyDescent="0.25">
      <c r="A110" s="39"/>
      <c r="B110" s="39"/>
      <c r="C110" s="39"/>
      <c r="D110" s="39"/>
      <c r="E110" s="39"/>
      <c r="F110" s="39"/>
      <c r="G110" s="5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2.75" customHeight="1" x14ac:dyDescent="0.25">
      <c r="A111" s="39"/>
      <c r="B111" s="39"/>
      <c r="C111" s="39"/>
      <c r="D111" s="39"/>
      <c r="E111" s="39"/>
      <c r="F111" s="39"/>
      <c r="G111" s="5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2.75" customHeight="1" x14ac:dyDescent="0.25">
      <c r="A112" s="39"/>
      <c r="B112" s="39"/>
      <c r="C112" s="39"/>
      <c r="D112" s="39"/>
      <c r="E112" s="39"/>
      <c r="F112" s="39"/>
      <c r="G112" s="5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2.75" customHeight="1" x14ac:dyDescent="0.25">
      <c r="A113" s="39"/>
      <c r="B113" s="39"/>
      <c r="C113" s="39"/>
      <c r="D113" s="39"/>
      <c r="E113" s="39"/>
      <c r="F113" s="39"/>
      <c r="G113" s="5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2.75" customHeight="1" x14ac:dyDescent="0.25">
      <c r="A114" s="39"/>
      <c r="B114" s="39"/>
      <c r="C114" s="39"/>
      <c r="D114" s="39"/>
      <c r="E114" s="39"/>
      <c r="F114" s="39"/>
      <c r="G114" s="5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2.75" customHeight="1" x14ac:dyDescent="0.25">
      <c r="A115" s="39"/>
      <c r="B115" s="39"/>
      <c r="C115" s="39"/>
      <c r="D115" s="39"/>
      <c r="E115" s="39"/>
      <c r="F115" s="39"/>
      <c r="G115" s="5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2.75" customHeight="1" x14ac:dyDescent="0.25">
      <c r="A116" s="39"/>
      <c r="B116" s="39"/>
      <c r="C116" s="39"/>
      <c r="D116" s="39"/>
      <c r="E116" s="39"/>
      <c r="F116" s="39"/>
      <c r="G116" s="5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2.75" customHeight="1" x14ac:dyDescent="0.25">
      <c r="A117" s="39"/>
      <c r="B117" s="39"/>
      <c r="C117" s="39"/>
      <c r="D117" s="39"/>
      <c r="E117" s="39"/>
      <c r="F117" s="39"/>
      <c r="G117" s="5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2.75" customHeight="1" x14ac:dyDescent="0.25">
      <c r="A118" s="39"/>
      <c r="B118" s="39"/>
      <c r="C118" s="39"/>
      <c r="D118" s="39"/>
      <c r="E118" s="39"/>
      <c r="F118" s="39"/>
      <c r="G118" s="5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2.75" customHeight="1" x14ac:dyDescent="0.25">
      <c r="A119" s="39"/>
      <c r="B119" s="39"/>
      <c r="C119" s="39"/>
      <c r="D119" s="39"/>
      <c r="E119" s="39"/>
      <c r="F119" s="39"/>
      <c r="G119" s="5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2.75" customHeight="1" x14ac:dyDescent="0.25">
      <c r="A120" s="39"/>
      <c r="B120" s="39"/>
      <c r="C120" s="39"/>
      <c r="D120" s="39"/>
      <c r="E120" s="39"/>
      <c r="F120" s="39"/>
      <c r="G120" s="5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2.75" customHeight="1" x14ac:dyDescent="0.25">
      <c r="A121" s="39"/>
      <c r="B121" s="39"/>
      <c r="C121" s="39"/>
      <c r="D121" s="39"/>
      <c r="E121" s="39"/>
      <c r="F121" s="39"/>
      <c r="G121" s="5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2.75" customHeight="1" x14ac:dyDescent="0.25">
      <c r="A122" s="39"/>
      <c r="B122" s="39"/>
      <c r="C122" s="39"/>
      <c r="D122" s="39"/>
      <c r="E122" s="39"/>
      <c r="F122" s="39"/>
      <c r="G122" s="5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2.75" customHeight="1" x14ac:dyDescent="0.25">
      <c r="A123" s="39"/>
      <c r="B123" s="39"/>
      <c r="C123" s="39"/>
      <c r="D123" s="39"/>
      <c r="E123" s="39"/>
      <c r="F123" s="39"/>
      <c r="G123" s="5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2.75" customHeight="1" x14ac:dyDescent="0.25">
      <c r="A124" s="39"/>
      <c r="B124" s="39"/>
      <c r="C124" s="39"/>
      <c r="D124" s="39"/>
      <c r="E124" s="39"/>
      <c r="F124" s="39"/>
      <c r="G124" s="5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2.75" customHeight="1" x14ac:dyDescent="0.25">
      <c r="A125" s="39"/>
      <c r="B125" s="39"/>
      <c r="C125" s="39"/>
      <c r="D125" s="39"/>
      <c r="E125" s="39"/>
      <c r="F125" s="39"/>
      <c r="G125" s="5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2.75" customHeight="1" x14ac:dyDescent="0.25">
      <c r="A126" s="39"/>
      <c r="B126" s="39"/>
      <c r="C126" s="39"/>
      <c r="D126" s="39"/>
      <c r="E126" s="39"/>
      <c r="F126" s="39"/>
      <c r="G126" s="5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2.75" customHeight="1" x14ac:dyDescent="0.25">
      <c r="A127" s="39"/>
      <c r="B127" s="39"/>
      <c r="C127" s="39"/>
      <c r="D127" s="39"/>
      <c r="E127" s="39"/>
      <c r="F127" s="39"/>
      <c r="G127" s="5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2.75" customHeight="1" x14ac:dyDescent="0.25">
      <c r="A128" s="39"/>
      <c r="B128" s="39"/>
      <c r="C128" s="39"/>
      <c r="D128" s="39"/>
      <c r="E128" s="39"/>
      <c r="F128" s="39"/>
      <c r="G128" s="5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2.75" customHeight="1" x14ac:dyDescent="0.25">
      <c r="A129" s="39"/>
      <c r="B129" s="39"/>
      <c r="C129" s="39"/>
      <c r="D129" s="39"/>
      <c r="E129" s="39"/>
      <c r="F129" s="39"/>
      <c r="G129" s="5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2.75" customHeight="1" x14ac:dyDescent="0.25">
      <c r="A130" s="39"/>
      <c r="B130" s="39"/>
      <c r="C130" s="39"/>
      <c r="D130" s="39"/>
      <c r="E130" s="39"/>
      <c r="F130" s="39"/>
      <c r="G130" s="5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2.75" customHeight="1" x14ac:dyDescent="0.25">
      <c r="A131" s="39"/>
      <c r="B131" s="39"/>
      <c r="C131" s="39"/>
      <c r="D131" s="39"/>
      <c r="E131" s="39"/>
      <c r="F131" s="39"/>
      <c r="G131" s="5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2.75" customHeight="1" x14ac:dyDescent="0.25">
      <c r="A132" s="39"/>
      <c r="B132" s="39"/>
      <c r="C132" s="39"/>
      <c r="D132" s="39"/>
      <c r="E132" s="39"/>
      <c r="F132" s="39"/>
      <c r="G132" s="5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2.75" customHeight="1" x14ac:dyDescent="0.25">
      <c r="A133" s="39"/>
      <c r="B133" s="39"/>
      <c r="C133" s="39"/>
      <c r="D133" s="39"/>
      <c r="E133" s="39"/>
      <c r="F133" s="39"/>
      <c r="G133" s="5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2.75" customHeight="1" x14ac:dyDescent="0.25">
      <c r="A134" s="39"/>
      <c r="B134" s="39"/>
      <c r="C134" s="39"/>
      <c r="D134" s="39"/>
      <c r="E134" s="39"/>
      <c r="F134" s="39"/>
      <c r="G134" s="5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2.75" customHeight="1" x14ac:dyDescent="0.25">
      <c r="A135" s="39"/>
      <c r="B135" s="39"/>
      <c r="C135" s="39"/>
      <c r="D135" s="39"/>
      <c r="E135" s="39"/>
      <c r="F135" s="39"/>
      <c r="G135" s="5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2.75" customHeight="1" x14ac:dyDescent="0.25">
      <c r="A136" s="39"/>
      <c r="B136" s="39"/>
      <c r="C136" s="39"/>
      <c r="D136" s="39"/>
      <c r="E136" s="39"/>
      <c r="F136" s="39"/>
      <c r="G136" s="5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2.75" customHeight="1" x14ac:dyDescent="0.25">
      <c r="A137" s="39"/>
      <c r="B137" s="39"/>
      <c r="C137" s="39"/>
      <c r="D137" s="39"/>
      <c r="E137" s="39"/>
      <c r="F137" s="39"/>
      <c r="G137" s="5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2.75" customHeight="1" x14ac:dyDescent="0.25">
      <c r="A138" s="39"/>
      <c r="B138" s="39"/>
      <c r="C138" s="39"/>
      <c r="D138" s="39"/>
      <c r="E138" s="39"/>
      <c r="F138" s="39"/>
      <c r="G138" s="5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2.75" customHeight="1" x14ac:dyDescent="0.25">
      <c r="A139" s="39"/>
      <c r="B139" s="39"/>
      <c r="C139" s="39"/>
      <c r="D139" s="39"/>
      <c r="E139" s="39"/>
      <c r="F139" s="39"/>
      <c r="G139" s="5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2.75" customHeight="1" x14ac:dyDescent="0.25">
      <c r="A140" s="39"/>
      <c r="B140" s="39"/>
      <c r="C140" s="39"/>
      <c r="D140" s="39"/>
      <c r="E140" s="39"/>
      <c r="F140" s="39"/>
      <c r="G140" s="5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2.75" customHeight="1" x14ac:dyDescent="0.25">
      <c r="A141" s="39"/>
      <c r="B141" s="39"/>
      <c r="C141" s="39"/>
      <c r="D141" s="39"/>
      <c r="E141" s="39"/>
      <c r="F141" s="39"/>
      <c r="G141" s="5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2.75" customHeight="1" x14ac:dyDescent="0.25">
      <c r="A142" s="39"/>
      <c r="B142" s="39"/>
      <c r="C142" s="39"/>
      <c r="D142" s="39"/>
      <c r="E142" s="39"/>
      <c r="F142" s="39"/>
      <c r="G142" s="5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2.75" customHeight="1" x14ac:dyDescent="0.25">
      <c r="A143" s="39"/>
      <c r="B143" s="39"/>
      <c r="C143" s="39"/>
      <c r="D143" s="39"/>
      <c r="E143" s="39"/>
      <c r="F143" s="39"/>
      <c r="G143" s="5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2.75" customHeight="1" x14ac:dyDescent="0.25">
      <c r="A144" s="39"/>
      <c r="B144" s="39"/>
      <c r="C144" s="39"/>
      <c r="D144" s="39"/>
      <c r="E144" s="39"/>
      <c r="F144" s="39"/>
      <c r="G144" s="5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2.75" customHeight="1" x14ac:dyDescent="0.25">
      <c r="A145" s="39"/>
      <c r="B145" s="39"/>
      <c r="C145" s="39"/>
      <c r="D145" s="39"/>
      <c r="E145" s="39"/>
      <c r="F145" s="39"/>
      <c r="G145" s="5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2.75" customHeight="1" x14ac:dyDescent="0.25">
      <c r="A146" s="39"/>
      <c r="B146" s="39"/>
      <c r="C146" s="39"/>
      <c r="D146" s="39"/>
      <c r="E146" s="39"/>
      <c r="F146" s="39"/>
      <c r="G146" s="5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2.75" customHeight="1" x14ac:dyDescent="0.25">
      <c r="A147" s="39"/>
      <c r="B147" s="39"/>
      <c r="C147" s="39"/>
      <c r="D147" s="39"/>
      <c r="E147" s="39"/>
      <c r="F147" s="39"/>
      <c r="G147" s="5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2.75" customHeight="1" x14ac:dyDescent="0.25">
      <c r="A148" s="39"/>
      <c r="B148" s="39"/>
      <c r="C148" s="39"/>
      <c r="D148" s="39"/>
      <c r="E148" s="39"/>
      <c r="F148" s="39"/>
      <c r="G148" s="5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2.75" customHeight="1" x14ac:dyDescent="0.25">
      <c r="A149" s="39"/>
      <c r="B149" s="39"/>
      <c r="C149" s="39"/>
      <c r="D149" s="39"/>
      <c r="E149" s="39"/>
      <c r="F149" s="39"/>
      <c r="G149" s="5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2.75" customHeight="1" x14ac:dyDescent="0.25">
      <c r="A150" s="39"/>
      <c r="B150" s="39"/>
      <c r="C150" s="39"/>
      <c r="D150" s="39"/>
      <c r="E150" s="39"/>
      <c r="F150" s="39"/>
      <c r="G150" s="5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2.75" customHeight="1" x14ac:dyDescent="0.25">
      <c r="A151" s="39"/>
      <c r="B151" s="39"/>
      <c r="C151" s="39"/>
      <c r="D151" s="39"/>
      <c r="E151" s="39"/>
      <c r="F151" s="39"/>
      <c r="G151" s="5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2.75" customHeight="1" x14ac:dyDescent="0.25">
      <c r="A152" s="39"/>
      <c r="B152" s="39"/>
      <c r="C152" s="39"/>
      <c r="D152" s="39"/>
      <c r="E152" s="39"/>
      <c r="F152" s="39"/>
      <c r="G152" s="5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2.75" customHeight="1" x14ac:dyDescent="0.25">
      <c r="A153" s="39"/>
      <c r="B153" s="39"/>
      <c r="C153" s="39"/>
      <c r="D153" s="39"/>
      <c r="E153" s="39"/>
      <c r="F153" s="39"/>
      <c r="G153" s="5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2.75" customHeight="1" x14ac:dyDescent="0.25">
      <c r="A154" s="39"/>
      <c r="B154" s="39"/>
      <c r="C154" s="39"/>
      <c r="D154" s="39"/>
      <c r="E154" s="39"/>
      <c r="F154" s="39"/>
      <c r="G154" s="5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2.75" customHeight="1" x14ac:dyDescent="0.25">
      <c r="A155" s="39"/>
      <c r="B155" s="39"/>
      <c r="C155" s="39"/>
      <c r="D155" s="39"/>
      <c r="E155" s="39"/>
      <c r="F155" s="39"/>
      <c r="G155" s="5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2.75" customHeight="1" x14ac:dyDescent="0.25">
      <c r="A156" s="39"/>
      <c r="B156" s="39"/>
      <c r="C156" s="39"/>
      <c r="D156" s="39"/>
      <c r="E156" s="39"/>
      <c r="F156" s="39"/>
      <c r="G156" s="5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2.75" customHeight="1" x14ac:dyDescent="0.25">
      <c r="A157" s="39"/>
      <c r="B157" s="39"/>
      <c r="C157" s="39"/>
      <c r="D157" s="39"/>
      <c r="E157" s="39"/>
      <c r="F157" s="39"/>
      <c r="G157" s="5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2.75" customHeight="1" x14ac:dyDescent="0.25">
      <c r="A158" s="39"/>
      <c r="B158" s="39"/>
      <c r="C158" s="39"/>
      <c r="D158" s="39"/>
      <c r="E158" s="39"/>
      <c r="F158" s="39"/>
      <c r="G158" s="5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2.75" customHeight="1" x14ac:dyDescent="0.25">
      <c r="A159" s="39"/>
      <c r="B159" s="39"/>
      <c r="C159" s="39"/>
      <c r="D159" s="39"/>
      <c r="E159" s="39"/>
      <c r="F159" s="39"/>
      <c r="G159" s="5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2.75" customHeight="1" x14ac:dyDescent="0.25">
      <c r="A160" s="39"/>
      <c r="B160" s="39"/>
      <c r="C160" s="39"/>
      <c r="D160" s="39"/>
      <c r="E160" s="39"/>
      <c r="F160" s="39"/>
      <c r="G160" s="5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2.75" customHeight="1" x14ac:dyDescent="0.25">
      <c r="A161" s="39"/>
      <c r="B161" s="39"/>
      <c r="C161" s="39"/>
      <c r="D161" s="39"/>
      <c r="E161" s="39"/>
      <c r="F161" s="39"/>
      <c r="G161" s="5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2.75" customHeight="1" x14ac:dyDescent="0.25">
      <c r="A162" s="39"/>
      <c r="B162" s="39"/>
      <c r="C162" s="39"/>
      <c r="D162" s="39"/>
      <c r="E162" s="39"/>
      <c r="F162" s="39"/>
      <c r="G162" s="5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2.75" customHeight="1" x14ac:dyDescent="0.25">
      <c r="A163" s="39"/>
      <c r="B163" s="39"/>
      <c r="C163" s="39"/>
      <c r="D163" s="39"/>
      <c r="E163" s="39"/>
      <c r="F163" s="39"/>
      <c r="G163" s="5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2.75" customHeight="1" x14ac:dyDescent="0.25">
      <c r="A164" s="39"/>
      <c r="B164" s="39"/>
      <c r="C164" s="39"/>
      <c r="D164" s="39"/>
      <c r="E164" s="39"/>
      <c r="F164" s="39"/>
      <c r="G164" s="5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2.75" customHeight="1" x14ac:dyDescent="0.25">
      <c r="A165" s="39"/>
      <c r="B165" s="39"/>
      <c r="C165" s="39"/>
      <c r="D165" s="39"/>
      <c r="E165" s="39"/>
      <c r="F165" s="39"/>
      <c r="G165" s="5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2.75" customHeight="1" x14ac:dyDescent="0.25">
      <c r="A166" s="39"/>
      <c r="B166" s="39"/>
      <c r="C166" s="39"/>
      <c r="D166" s="39"/>
      <c r="E166" s="39"/>
      <c r="F166" s="39"/>
      <c r="G166" s="5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2.75" customHeight="1" x14ac:dyDescent="0.25">
      <c r="A167" s="39"/>
      <c r="B167" s="39"/>
      <c r="C167" s="39"/>
      <c r="D167" s="39"/>
      <c r="E167" s="39"/>
      <c r="F167" s="39"/>
      <c r="G167" s="5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2.75" customHeight="1" x14ac:dyDescent="0.25">
      <c r="A168" s="39"/>
      <c r="B168" s="39"/>
      <c r="C168" s="39"/>
      <c r="D168" s="39"/>
      <c r="E168" s="39"/>
      <c r="F168" s="39"/>
      <c r="G168" s="5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2.75" customHeight="1" x14ac:dyDescent="0.25">
      <c r="A169" s="39"/>
      <c r="B169" s="39"/>
      <c r="C169" s="39"/>
      <c r="D169" s="39"/>
      <c r="E169" s="39"/>
      <c r="F169" s="39"/>
      <c r="G169" s="5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2.75" customHeight="1" x14ac:dyDescent="0.25">
      <c r="A170" s="39"/>
      <c r="B170" s="39"/>
      <c r="C170" s="39"/>
      <c r="D170" s="39"/>
      <c r="E170" s="39"/>
      <c r="F170" s="39"/>
      <c r="G170" s="5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2.75" customHeight="1" x14ac:dyDescent="0.25">
      <c r="A171" s="39"/>
      <c r="B171" s="39"/>
      <c r="C171" s="39"/>
      <c r="D171" s="39"/>
      <c r="E171" s="39"/>
      <c r="F171" s="39"/>
      <c r="G171" s="5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2.75" customHeight="1" x14ac:dyDescent="0.25">
      <c r="A172" s="39"/>
      <c r="B172" s="39"/>
      <c r="C172" s="39"/>
      <c r="D172" s="39"/>
      <c r="E172" s="39"/>
      <c r="F172" s="39"/>
      <c r="G172" s="5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2.75" customHeight="1" x14ac:dyDescent="0.25">
      <c r="A173" s="39"/>
      <c r="B173" s="39"/>
      <c r="C173" s="39"/>
      <c r="D173" s="39"/>
      <c r="E173" s="39"/>
      <c r="F173" s="39"/>
      <c r="G173" s="5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2.75" customHeight="1" x14ac:dyDescent="0.25">
      <c r="A174" s="39"/>
      <c r="B174" s="39"/>
      <c r="C174" s="39"/>
      <c r="D174" s="39"/>
      <c r="E174" s="39"/>
      <c r="F174" s="39"/>
      <c r="G174" s="5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2.75" customHeight="1" x14ac:dyDescent="0.25">
      <c r="A175" s="39"/>
      <c r="B175" s="39"/>
      <c r="C175" s="39"/>
      <c r="D175" s="39"/>
      <c r="E175" s="39"/>
      <c r="F175" s="39"/>
      <c r="G175" s="5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2.75" customHeight="1" x14ac:dyDescent="0.25">
      <c r="A176" s="39"/>
      <c r="B176" s="39"/>
      <c r="C176" s="39"/>
      <c r="D176" s="39"/>
      <c r="E176" s="39"/>
      <c r="F176" s="39"/>
      <c r="G176" s="5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2.75" customHeight="1" x14ac:dyDescent="0.25">
      <c r="A177" s="39"/>
      <c r="B177" s="39"/>
      <c r="C177" s="39"/>
      <c r="D177" s="39"/>
      <c r="E177" s="39"/>
      <c r="F177" s="39"/>
      <c r="G177" s="5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2.75" customHeight="1" x14ac:dyDescent="0.25">
      <c r="A178" s="39"/>
      <c r="B178" s="39"/>
      <c r="C178" s="39"/>
      <c r="D178" s="39"/>
      <c r="E178" s="39"/>
      <c r="F178" s="39"/>
      <c r="G178" s="5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2.75" customHeight="1" x14ac:dyDescent="0.25">
      <c r="A179" s="39"/>
      <c r="B179" s="39"/>
      <c r="C179" s="39"/>
      <c r="D179" s="39"/>
      <c r="E179" s="39"/>
      <c r="F179" s="39"/>
      <c r="G179" s="5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2.75" customHeight="1" x14ac:dyDescent="0.25">
      <c r="A180" s="39"/>
      <c r="B180" s="39"/>
      <c r="C180" s="39"/>
      <c r="D180" s="39"/>
      <c r="E180" s="39"/>
      <c r="F180" s="39"/>
      <c r="G180" s="5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2.75" customHeight="1" x14ac:dyDescent="0.25">
      <c r="A181" s="39"/>
      <c r="B181" s="39"/>
      <c r="C181" s="39"/>
      <c r="D181" s="39"/>
      <c r="E181" s="39"/>
      <c r="F181" s="39"/>
      <c r="G181" s="5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2.75" customHeight="1" x14ac:dyDescent="0.25">
      <c r="A182" s="39"/>
      <c r="B182" s="39"/>
      <c r="C182" s="39"/>
      <c r="D182" s="39"/>
      <c r="E182" s="39"/>
      <c r="F182" s="39"/>
      <c r="G182" s="5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2.75" customHeight="1" x14ac:dyDescent="0.25">
      <c r="A183" s="39"/>
      <c r="B183" s="39"/>
      <c r="C183" s="39"/>
      <c r="D183" s="39"/>
      <c r="E183" s="39"/>
      <c r="F183" s="39"/>
      <c r="G183" s="5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2.75" customHeight="1" x14ac:dyDescent="0.25">
      <c r="A184" s="39"/>
      <c r="B184" s="39"/>
      <c r="C184" s="39"/>
      <c r="D184" s="39"/>
      <c r="E184" s="39"/>
      <c r="F184" s="39"/>
      <c r="G184" s="5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2.75" customHeight="1" x14ac:dyDescent="0.25">
      <c r="A185" s="39"/>
      <c r="B185" s="39"/>
      <c r="C185" s="39"/>
      <c r="D185" s="39"/>
      <c r="E185" s="39"/>
      <c r="F185" s="39"/>
      <c r="G185" s="5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2.75" customHeight="1" x14ac:dyDescent="0.25">
      <c r="A186" s="39"/>
      <c r="B186" s="39"/>
      <c r="C186" s="39"/>
      <c r="D186" s="39"/>
      <c r="E186" s="39"/>
      <c r="F186" s="39"/>
      <c r="G186" s="5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2.75" customHeight="1" x14ac:dyDescent="0.25">
      <c r="A187" s="39"/>
      <c r="B187" s="39"/>
      <c r="C187" s="39"/>
      <c r="D187" s="39"/>
      <c r="E187" s="39"/>
      <c r="F187" s="39"/>
      <c r="G187" s="5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2.75" customHeight="1" x14ac:dyDescent="0.25">
      <c r="A188" s="39"/>
      <c r="B188" s="39"/>
      <c r="C188" s="39"/>
      <c r="D188" s="39"/>
      <c r="E188" s="39"/>
      <c r="F188" s="39"/>
      <c r="G188" s="5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2.75" customHeight="1" x14ac:dyDescent="0.25">
      <c r="A189" s="39"/>
      <c r="B189" s="39"/>
      <c r="C189" s="39"/>
      <c r="D189" s="39"/>
      <c r="E189" s="39"/>
      <c r="F189" s="39"/>
      <c r="G189" s="5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2.75" customHeight="1" x14ac:dyDescent="0.25">
      <c r="A190" s="39"/>
      <c r="B190" s="39"/>
      <c r="C190" s="39"/>
      <c r="D190" s="39"/>
      <c r="E190" s="39"/>
      <c r="F190" s="39"/>
      <c r="G190" s="5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2.75" customHeight="1" x14ac:dyDescent="0.25">
      <c r="A191" s="39"/>
      <c r="B191" s="39"/>
      <c r="C191" s="39"/>
      <c r="D191" s="39"/>
      <c r="E191" s="39"/>
      <c r="F191" s="39"/>
      <c r="G191" s="5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2.75" customHeight="1" x14ac:dyDescent="0.25">
      <c r="A192" s="39"/>
      <c r="B192" s="39"/>
      <c r="C192" s="39"/>
      <c r="D192" s="39"/>
      <c r="E192" s="39"/>
      <c r="F192" s="39"/>
      <c r="G192" s="5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2.75" customHeight="1" x14ac:dyDescent="0.25">
      <c r="A193" s="39"/>
      <c r="B193" s="39"/>
      <c r="C193" s="39"/>
      <c r="D193" s="39"/>
      <c r="E193" s="39"/>
      <c r="F193" s="39"/>
      <c r="G193" s="5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2.75" customHeight="1" x14ac:dyDescent="0.25">
      <c r="A194" s="39"/>
      <c r="B194" s="39"/>
      <c r="C194" s="39"/>
      <c r="D194" s="39"/>
      <c r="E194" s="39"/>
      <c r="F194" s="39"/>
      <c r="G194" s="5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2.75" customHeight="1" x14ac:dyDescent="0.25">
      <c r="A195" s="39"/>
      <c r="B195" s="39"/>
      <c r="C195" s="39"/>
      <c r="D195" s="39"/>
      <c r="E195" s="39"/>
      <c r="F195" s="39"/>
      <c r="G195" s="5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2.75" customHeight="1" x14ac:dyDescent="0.25">
      <c r="A196" s="39"/>
      <c r="B196" s="39"/>
      <c r="C196" s="39"/>
      <c r="D196" s="39"/>
      <c r="E196" s="39"/>
      <c r="F196" s="39"/>
      <c r="G196" s="5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2.75" customHeight="1" x14ac:dyDescent="0.25">
      <c r="A197" s="39"/>
      <c r="B197" s="39"/>
      <c r="C197" s="39"/>
      <c r="D197" s="39"/>
      <c r="E197" s="39"/>
      <c r="F197" s="39"/>
      <c r="G197" s="5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2.75" customHeight="1" x14ac:dyDescent="0.25">
      <c r="A198" s="39"/>
      <c r="B198" s="39"/>
      <c r="C198" s="39"/>
      <c r="D198" s="39"/>
      <c r="E198" s="39"/>
      <c r="F198" s="39"/>
      <c r="G198" s="5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2.75" customHeight="1" x14ac:dyDescent="0.25">
      <c r="A199" s="39"/>
      <c r="B199" s="39"/>
      <c r="C199" s="39"/>
      <c r="D199" s="39"/>
      <c r="E199" s="39"/>
      <c r="F199" s="39"/>
      <c r="G199" s="5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2.75" customHeight="1" x14ac:dyDescent="0.25">
      <c r="A200" s="39"/>
      <c r="B200" s="39"/>
      <c r="C200" s="39"/>
      <c r="D200" s="39"/>
      <c r="E200" s="39"/>
      <c r="F200" s="39"/>
      <c r="G200" s="5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2.75" customHeight="1" x14ac:dyDescent="0.25">
      <c r="A201" s="39"/>
      <c r="B201" s="39"/>
      <c r="C201" s="39"/>
      <c r="D201" s="39"/>
      <c r="E201" s="39"/>
      <c r="F201" s="39"/>
      <c r="G201" s="5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2.75" customHeight="1" x14ac:dyDescent="0.25">
      <c r="A202" s="39"/>
      <c r="B202" s="39"/>
      <c r="C202" s="39"/>
      <c r="D202" s="39"/>
      <c r="E202" s="39"/>
      <c r="F202" s="39"/>
      <c r="G202" s="5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2.75" customHeight="1" x14ac:dyDescent="0.25">
      <c r="A203" s="39"/>
      <c r="B203" s="39"/>
      <c r="C203" s="39"/>
      <c r="D203" s="39"/>
      <c r="E203" s="39"/>
      <c r="F203" s="39"/>
      <c r="G203" s="5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2.75" customHeight="1" x14ac:dyDescent="0.25">
      <c r="A204" s="39"/>
      <c r="B204" s="39"/>
      <c r="C204" s="39"/>
      <c r="D204" s="39"/>
      <c r="E204" s="39"/>
      <c r="F204" s="39"/>
      <c r="G204" s="5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2.75" customHeight="1" x14ac:dyDescent="0.25">
      <c r="A205" s="39"/>
      <c r="B205" s="39"/>
      <c r="C205" s="39"/>
      <c r="D205" s="39"/>
      <c r="E205" s="39"/>
      <c r="F205" s="39"/>
      <c r="G205" s="5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2.75" customHeight="1" x14ac:dyDescent="0.25">
      <c r="A206" s="39"/>
      <c r="B206" s="39"/>
      <c r="C206" s="39"/>
      <c r="D206" s="39"/>
      <c r="E206" s="39"/>
      <c r="F206" s="39"/>
      <c r="G206" s="5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2.75" customHeight="1" x14ac:dyDescent="0.25">
      <c r="A207" s="39"/>
      <c r="B207" s="39"/>
      <c r="C207" s="39"/>
      <c r="D207" s="39"/>
      <c r="E207" s="39"/>
      <c r="F207" s="39"/>
      <c r="G207" s="5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2.75" customHeight="1" x14ac:dyDescent="0.25">
      <c r="A208" s="39"/>
      <c r="B208" s="39"/>
      <c r="C208" s="39"/>
      <c r="D208" s="39"/>
      <c r="E208" s="39"/>
      <c r="F208" s="39"/>
      <c r="G208" s="5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2.75" customHeight="1" x14ac:dyDescent="0.25">
      <c r="A209" s="39"/>
      <c r="B209" s="39"/>
      <c r="C209" s="39"/>
      <c r="D209" s="39"/>
      <c r="E209" s="39"/>
      <c r="F209" s="39"/>
      <c r="G209" s="5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2.75" customHeight="1" x14ac:dyDescent="0.25">
      <c r="A210" s="39"/>
      <c r="B210" s="39"/>
      <c r="C210" s="39"/>
      <c r="D210" s="39"/>
      <c r="E210" s="39"/>
      <c r="F210" s="39"/>
      <c r="G210" s="5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2.75" customHeight="1" x14ac:dyDescent="0.25">
      <c r="A211" s="39"/>
      <c r="B211" s="39"/>
      <c r="C211" s="39"/>
      <c r="D211" s="39"/>
      <c r="E211" s="39"/>
      <c r="F211" s="39"/>
      <c r="G211" s="5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2.75" customHeight="1" x14ac:dyDescent="0.25">
      <c r="A212" s="39"/>
      <c r="B212" s="39"/>
      <c r="C212" s="39"/>
      <c r="D212" s="39"/>
      <c r="E212" s="39"/>
      <c r="F212" s="39"/>
      <c r="G212" s="5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2.75" customHeight="1" x14ac:dyDescent="0.25">
      <c r="A213" s="39"/>
      <c r="B213" s="39"/>
      <c r="C213" s="39"/>
      <c r="D213" s="39"/>
      <c r="E213" s="39"/>
      <c r="F213" s="39"/>
      <c r="G213" s="5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2.75" customHeight="1" x14ac:dyDescent="0.25">
      <c r="A214" s="39"/>
      <c r="B214" s="39"/>
      <c r="C214" s="39"/>
      <c r="D214" s="39"/>
      <c r="E214" s="39"/>
      <c r="F214" s="39"/>
      <c r="G214" s="5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2.75" customHeight="1" x14ac:dyDescent="0.25">
      <c r="A215" s="39"/>
      <c r="B215" s="39"/>
      <c r="C215" s="39"/>
      <c r="D215" s="39"/>
      <c r="E215" s="39"/>
      <c r="F215" s="39"/>
      <c r="G215" s="5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2.75" customHeight="1" x14ac:dyDescent="0.25">
      <c r="A216" s="39"/>
      <c r="B216" s="39"/>
      <c r="C216" s="39"/>
      <c r="D216" s="39"/>
      <c r="E216" s="39"/>
      <c r="F216" s="39"/>
      <c r="G216" s="5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2.75" customHeight="1" x14ac:dyDescent="0.25">
      <c r="A217" s="39"/>
      <c r="B217" s="39"/>
      <c r="C217" s="39"/>
      <c r="D217" s="39"/>
      <c r="E217" s="39"/>
      <c r="F217" s="39"/>
      <c r="G217" s="5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2.75" customHeight="1" x14ac:dyDescent="0.25">
      <c r="A218" s="39"/>
      <c r="B218" s="39"/>
      <c r="C218" s="39"/>
      <c r="D218" s="39"/>
      <c r="E218" s="39"/>
      <c r="F218" s="39"/>
      <c r="G218" s="5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2.75" customHeight="1" x14ac:dyDescent="0.25">
      <c r="A219" s="39"/>
      <c r="B219" s="39"/>
      <c r="C219" s="39"/>
      <c r="D219" s="39"/>
      <c r="E219" s="39"/>
      <c r="F219" s="39"/>
      <c r="G219" s="5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2.75" customHeight="1" x14ac:dyDescent="0.25">
      <c r="A220" s="39"/>
      <c r="B220" s="39"/>
      <c r="C220" s="39"/>
      <c r="D220" s="39"/>
      <c r="E220" s="39"/>
      <c r="F220" s="39"/>
      <c r="G220" s="5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2.75" customHeight="1" x14ac:dyDescent="0.25">
      <c r="A221" s="39"/>
      <c r="B221" s="39"/>
      <c r="C221" s="39"/>
      <c r="D221" s="39"/>
      <c r="E221" s="39"/>
      <c r="F221" s="39"/>
      <c r="G221" s="5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2.75" customHeight="1" x14ac:dyDescent="0.25">
      <c r="A222" s="39"/>
      <c r="B222" s="39"/>
      <c r="C222" s="39"/>
      <c r="D222" s="39"/>
      <c r="E222" s="39"/>
      <c r="F222" s="39"/>
      <c r="G222" s="5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2.75" customHeight="1" x14ac:dyDescent="0.25">
      <c r="A223" s="39"/>
      <c r="B223" s="39"/>
      <c r="C223" s="39"/>
      <c r="D223" s="39"/>
      <c r="E223" s="39"/>
      <c r="F223" s="39"/>
      <c r="G223" s="5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2.75" customHeight="1" x14ac:dyDescent="0.25">
      <c r="A224" s="39"/>
      <c r="B224" s="39"/>
      <c r="C224" s="39"/>
      <c r="D224" s="39"/>
      <c r="E224" s="39"/>
      <c r="F224" s="39"/>
      <c r="G224" s="5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2.75" customHeight="1" x14ac:dyDescent="0.25">
      <c r="A225" s="39"/>
      <c r="B225" s="39"/>
      <c r="C225" s="39"/>
      <c r="D225" s="39"/>
      <c r="E225" s="39"/>
      <c r="F225" s="39"/>
      <c r="G225" s="5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2.75" customHeight="1" x14ac:dyDescent="0.25">
      <c r="A226" s="39"/>
      <c r="B226" s="39"/>
      <c r="C226" s="39"/>
      <c r="D226" s="39"/>
      <c r="E226" s="39"/>
      <c r="F226" s="39"/>
      <c r="G226" s="5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2.75" customHeight="1" x14ac:dyDescent="0.25">
      <c r="A227" s="39"/>
      <c r="B227" s="39"/>
      <c r="C227" s="39"/>
      <c r="D227" s="39"/>
      <c r="E227" s="39"/>
      <c r="F227" s="39"/>
      <c r="G227" s="5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2.75" customHeight="1" x14ac:dyDescent="0.25">
      <c r="A228" s="39"/>
      <c r="B228" s="39"/>
      <c r="C228" s="39"/>
      <c r="D228" s="39"/>
      <c r="E228" s="39"/>
      <c r="F228" s="39"/>
      <c r="G228" s="5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2.75" customHeight="1" x14ac:dyDescent="0.25">
      <c r="A229" s="39"/>
      <c r="B229" s="39"/>
      <c r="C229" s="39"/>
      <c r="D229" s="39"/>
      <c r="E229" s="39"/>
      <c r="F229" s="39"/>
      <c r="G229" s="5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2.75" customHeight="1" x14ac:dyDescent="0.25">
      <c r="A230" s="39"/>
      <c r="B230" s="39"/>
      <c r="C230" s="39"/>
      <c r="D230" s="39"/>
      <c r="E230" s="39"/>
      <c r="F230" s="39"/>
      <c r="G230" s="5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2.75" customHeight="1" x14ac:dyDescent="0.25">
      <c r="A231" s="39"/>
      <c r="B231" s="39"/>
      <c r="C231" s="39"/>
      <c r="D231" s="39"/>
      <c r="E231" s="39"/>
      <c r="F231" s="39"/>
      <c r="G231" s="5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2.75" customHeight="1" x14ac:dyDescent="0.25">
      <c r="A232" s="39"/>
      <c r="B232" s="39"/>
      <c r="C232" s="39"/>
      <c r="D232" s="39"/>
      <c r="E232" s="39"/>
      <c r="F232" s="39"/>
      <c r="G232" s="5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2.75" customHeight="1" x14ac:dyDescent="0.25">
      <c r="A233" s="39"/>
      <c r="B233" s="39"/>
      <c r="C233" s="39"/>
      <c r="D233" s="39"/>
      <c r="E233" s="39"/>
      <c r="F233" s="39"/>
      <c r="G233" s="5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2.75" customHeight="1" x14ac:dyDescent="0.25">
      <c r="A234" s="39"/>
      <c r="B234" s="39"/>
      <c r="C234" s="39"/>
      <c r="D234" s="39"/>
      <c r="E234" s="39"/>
      <c r="F234" s="39"/>
      <c r="G234" s="5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2.75" customHeight="1" x14ac:dyDescent="0.25">
      <c r="A235" s="39"/>
      <c r="B235" s="39"/>
      <c r="C235" s="39"/>
      <c r="D235" s="39"/>
      <c r="E235" s="39"/>
      <c r="F235" s="39"/>
      <c r="G235" s="5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2.75" customHeight="1" x14ac:dyDescent="0.25">
      <c r="A236" s="39"/>
      <c r="B236" s="39"/>
      <c r="C236" s="39"/>
      <c r="D236" s="39"/>
      <c r="E236" s="39"/>
      <c r="F236" s="39"/>
      <c r="G236" s="5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2.75" customHeight="1" x14ac:dyDescent="0.25">
      <c r="A237" s="39"/>
      <c r="B237" s="39"/>
      <c r="C237" s="39"/>
      <c r="D237" s="39"/>
      <c r="E237" s="39"/>
      <c r="F237" s="39"/>
      <c r="G237" s="5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2.75" customHeight="1" x14ac:dyDescent="0.25">
      <c r="A238" s="39"/>
      <c r="B238" s="39"/>
      <c r="C238" s="39"/>
      <c r="D238" s="39"/>
      <c r="E238" s="39"/>
      <c r="F238" s="39"/>
      <c r="G238" s="5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2.75" customHeight="1" x14ac:dyDescent="0.25">
      <c r="A239" s="39"/>
      <c r="B239" s="39"/>
      <c r="C239" s="39"/>
      <c r="D239" s="39"/>
      <c r="E239" s="39"/>
      <c r="F239" s="39"/>
      <c r="G239" s="5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2.75" customHeight="1" x14ac:dyDescent="0.25">
      <c r="A240" s="39"/>
      <c r="B240" s="39"/>
      <c r="C240" s="39"/>
      <c r="D240" s="39"/>
      <c r="E240" s="39"/>
      <c r="F240" s="39"/>
      <c r="G240" s="5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2.75" customHeight="1" x14ac:dyDescent="0.25">
      <c r="A241" s="39"/>
      <c r="B241" s="39"/>
      <c r="C241" s="39"/>
      <c r="D241" s="39"/>
      <c r="E241" s="39"/>
      <c r="F241" s="39"/>
      <c r="G241" s="5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2.75" customHeight="1" x14ac:dyDescent="0.25">
      <c r="A242" s="39"/>
      <c r="B242" s="39"/>
      <c r="C242" s="39"/>
      <c r="D242" s="39"/>
      <c r="E242" s="39"/>
      <c r="F242" s="39"/>
      <c r="G242" s="5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2.75" customHeight="1" x14ac:dyDescent="0.25">
      <c r="A243" s="39"/>
      <c r="B243" s="39"/>
      <c r="C243" s="39"/>
      <c r="D243" s="39"/>
      <c r="E243" s="39"/>
      <c r="F243" s="39"/>
      <c r="G243" s="5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2.75" customHeight="1" x14ac:dyDescent="0.25">
      <c r="A244" s="39"/>
      <c r="B244" s="39"/>
      <c r="C244" s="39"/>
      <c r="D244" s="39"/>
      <c r="E244" s="39"/>
      <c r="F244" s="39"/>
      <c r="G244" s="5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2.75" customHeight="1" x14ac:dyDescent="0.25">
      <c r="A245" s="39"/>
      <c r="B245" s="39"/>
      <c r="C245" s="39"/>
      <c r="D245" s="39"/>
      <c r="E245" s="39"/>
      <c r="F245" s="39"/>
      <c r="G245" s="5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2.75" customHeight="1" x14ac:dyDescent="0.25">
      <c r="A246" s="39"/>
      <c r="B246" s="39"/>
      <c r="C246" s="39"/>
      <c r="D246" s="39"/>
      <c r="E246" s="39"/>
      <c r="F246" s="39"/>
      <c r="G246" s="5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2.75" customHeight="1" x14ac:dyDescent="0.25">
      <c r="A247" s="39"/>
      <c r="B247" s="39"/>
      <c r="C247" s="39"/>
      <c r="D247" s="39"/>
      <c r="E247" s="39"/>
      <c r="F247" s="39"/>
      <c r="G247" s="5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2.75" customHeight="1" x14ac:dyDescent="0.25">
      <c r="A248" s="39"/>
      <c r="B248" s="39"/>
      <c r="C248" s="39"/>
      <c r="D248" s="39"/>
      <c r="E248" s="39"/>
      <c r="F248" s="39"/>
      <c r="G248" s="5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2.75" customHeight="1" x14ac:dyDescent="0.25">
      <c r="A249" s="39"/>
      <c r="B249" s="39"/>
      <c r="C249" s="39"/>
      <c r="D249" s="39"/>
      <c r="E249" s="39"/>
      <c r="F249" s="39"/>
      <c r="G249" s="5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2.75" customHeight="1" x14ac:dyDescent="0.25">
      <c r="A250" s="39"/>
      <c r="B250" s="39"/>
      <c r="C250" s="39"/>
      <c r="D250" s="39"/>
      <c r="E250" s="39"/>
      <c r="F250" s="39"/>
      <c r="G250" s="5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2.75" customHeight="1" x14ac:dyDescent="0.25">
      <c r="A251" s="39"/>
      <c r="B251" s="39"/>
      <c r="C251" s="39"/>
      <c r="D251" s="39"/>
      <c r="E251" s="39"/>
      <c r="F251" s="39"/>
      <c r="G251" s="5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2.75" customHeight="1" x14ac:dyDescent="0.25">
      <c r="A252" s="39"/>
      <c r="B252" s="39"/>
      <c r="C252" s="39"/>
      <c r="D252" s="39"/>
      <c r="E252" s="39"/>
      <c r="F252" s="39"/>
      <c r="G252" s="5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2.75" customHeight="1" x14ac:dyDescent="0.25">
      <c r="A253" s="39"/>
      <c r="B253" s="39"/>
      <c r="C253" s="39"/>
      <c r="D253" s="39"/>
      <c r="E253" s="39"/>
      <c r="F253" s="39"/>
      <c r="G253" s="5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2.75" customHeight="1" x14ac:dyDescent="0.25">
      <c r="A254" s="39"/>
      <c r="B254" s="39"/>
      <c r="C254" s="39"/>
      <c r="D254" s="39"/>
      <c r="E254" s="39"/>
      <c r="F254" s="39"/>
      <c r="G254" s="5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2.75" customHeight="1" x14ac:dyDescent="0.25">
      <c r="A255" s="39"/>
      <c r="B255" s="39"/>
      <c r="C255" s="39"/>
      <c r="D255" s="39"/>
      <c r="E255" s="39"/>
      <c r="F255" s="39"/>
      <c r="G255" s="5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2.75" customHeight="1" x14ac:dyDescent="0.25">
      <c r="A256" s="39"/>
      <c r="B256" s="39"/>
      <c r="C256" s="39"/>
      <c r="D256" s="39"/>
      <c r="E256" s="39"/>
      <c r="F256" s="39"/>
      <c r="G256" s="5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2.75" customHeight="1" x14ac:dyDescent="0.25">
      <c r="A257" s="39"/>
      <c r="B257" s="39"/>
      <c r="C257" s="39"/>
      <c r="D257" s="39"/>
      <c r="E257" s="39"/>
      <c r="F257" s="39"/>
      <c r="G257" s="5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2.75" customHeight="1" x14ac:dyDescent="0.25">
      <c r="A258" s="39"/>
      <c r="B258" s="39"/>
      <c r="C258" s="39"/>
      <c r="D258" s="39"/>
      <c r="E258" s="39"/>
      <c r="F258" s="39"/>
      <c r="G258" s="5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2.75" customHeight="1" x14ac:dyDescent="0.25">
      <c r="A259" s="39"/>
      <c r="B259" s="39"/>
      <c r="C259" s="39"/>
      <c r="D259" s="39"/>
      <c r="E259" s="39"/>
      <c r="F259" s="39"/>
      <c r="G259" s="5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2.75" customHeight="1" x14ac:dyDescent="0.25">
      <c r="A260" s="39"/>
      <c r="B260" s="39"/>
      <c r="C260" s="39"/>
      <c r="D260" s="39"/>
      <c r="E260" s="39"/>
      <c r="F260" s="39"/>
      <c r="G260" s="5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2.75" customHeight="1" x14ac:dyDescent="0.25">
      <c r="A261" s="39"/>
      <c r="B261" s="39"/>
      <c r="C261" s="39"/>
      <c r="D261" s="39"/>
      <c r="E261" s="39"/>
      <c r="F261" s="39"/>
      <c r="G261" s="5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2.75" customHeight="1" x14ac:dyDescent="0.25">
      <c r="A262" s="39"/>
      <c r="B262" s="39"/>
      <c r="C262" s="39"/>
      <c r="D262" s="39"/>
      <c r="E262" s="39"/>
      <c r="F262" s="39"/>
      <c r="G262" s="5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2.75" customHeight="1" x14ac:dyDescent="0.25">
      <c r="A263" s="39"/>
      <c r="B263" s="39"/>
      <c r="C263" s="39"/>
      <c r="D263" s="39"/>
      <c r="E263" s="39"/>
      <c r="F263" s="39"/>
      <c r="G263" s="5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2.75" customHeight="1" x14ac:dyDescent="0.25">
      <c r="A264" s="39"/>
      <c r="B264" s="39"/>
      <c r="C264" s="39"/>
      <c r="D264" s="39"/>
      <c r="E264" s="39"/>
      <c r="F264" s="39"/>
      <c r="G264" s="5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2.75" customHeight="1" x14ac:dyDescent="0.25">
      <c r="A265" s="39"/>
      <c r="B265" s="39"/>
      <c r="C265" s="39"/>
      <c r="D265" s="39"/>
      <c r="E265" s="39"/>
      <c r="F265" s="39"/>
      <c r="G265" s="5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2.75" customHeight="1" x14ac:dyDescent="0.25">
      <c r="A266" s="39"/>
      <c r="B266" s="39"/>
      <c r="C266" s="39"/>
      <c r="D266" s="39"/>
      <c r="E266" s="39"/>
      <c r="F266" s="39"/>
      <c r="G266" s="5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2.75" customHeight="1" x14ac:dyDescent="0.25">
      <c r="A267" s="39"/>
      <c r="B267" s="39"/>
      <c r="C267" s="39"/>
      <c r="D267" s="39"/>
      <c r="E267" s="39"/>
      <c r="F267" s="39"/>
      <c r="G267" s="5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2.75" customHeight="1" x14ac:dyDescent="0.25">
      <c r="A268" s="39"/>
      <c r="B268" s="39"/>
      <c r="C268" s="39"/>
      <c r="D268" s="39"/>
      <c r="E268" s="39"/>
      <c r="F268" s="39"/>
      <c r="G268" s="5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2.75" customHeight="1" x14ac:dyDescent="0.25">
      <c r="A269" s="39"/>
      <c r="B269" s="39"/>
      <c r="C269" s="39"/>
      <c r="D269" s="39"/>
      <c r="E269" s="39"/>
      <c r="F269" s="39"/>
      <c r="G269" s="5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2.75" customHeight="1" x14ac:dyDescent="0.25">
      <c r="A270" s="39"/>
      <c r="B270" s="39"/>
      <c r="C270" s="39"/>
      <c r="D270" s="39"/>
      <c r="E270" s="39"/>
      <c r="F270" s="39"/>
      <c r="G270" s="5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B1:G1"/>
    <mergeCell ref="A2:G2"/>
    <mergeCell ref="F3:G3"/>
    <mergeCell ref="A4:G4"/>
    <mergeCell ref="B5:D5"/>
    <mergeCell ref="F5:G5"/>
    <mergeCell ref="A6:G6"/>
    <mergeCell ref="A56:A57"/>
    <mergeCell ref="B56:G57"/>
    <mergeCell ref="A59:A60"/>
    <mergeCell ref="B59:G60"/>
    <mergeCell ref="A62:A64"/>
    <mergeCell ref="A70:D71"/>
    <mergeCell ref="E70:F71"/>
    <mergeCell ref="G70:G71"/>
    <mergeCell ref="F7:G7"/>
    <mergeCell ref="F8:G8"/>
    <mergeCell ref="A9:G9"/>
    <mergeCell ref="A11:G11"/>
    <mergeCell ref="A31:G31"/>
    <mergeCell ref="A47:A48"/>
    <mergeCell ref="A52:A54"/>
  </mergeCells>
  <printOptions horizontalCentered="1" verticalCentered="1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Directions and Notes</vt:lpstr>
      <vt:lpstr>Property Details</vt:lpstr>
      <vt:lpstr>Income and Expenses</vt:lpstr>
      <vt:lpstr>Deal Calculations</vt:lpstr>
      <vt:lpstr>Refinance Calculations</vt:lpstr>
      <vt:lpstr>Repair Estimator</vt:lpstr>
      <vt:lpstr>'Repair Estimator'!Driveway</vt:lpstr>
      <vt:lpstr>'Repair Estimator'!Landscape</vt:lpstr>
      <vt:lpstr>'Repair Estimator'!Landscaping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Schroeder</cp:lastModifiedBy>
  <dcterms:modified xsi:type="dcterms:W3CDTF">2026-10-18T05:30:34Z</dcterms:modified>
</cp:coreProperties>
</file>